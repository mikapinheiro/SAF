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jw6\OneDrive - PETROBRAS\Documents\SENAI\2025\documento enviados para o SENAI\"/>
    </mc:Choice>
  </mc:AlternateContent>
  <xr:revisionPtr revIDLastSave="0" documentId="8_{DC1D83E9-4351-44A1-8FB0-34E3CE061FA5}" xr6:coauthVersionLast="47" xr6:coauthVersionMax="47" xr10:uidLastSave="{00000000-0000-0000-0000-000000000000}"/>
  <bookViews>
    <workbookView xWindow="20280" yWindow="-14850" windowWidth="29040" windowHeight="15720" tabRatio="666" xr2:uid="{4CC3C447-18D9-4E45-85C5-E8A707DBE51A}"/>
  </bookViews>
  <sheets>
    <sheet name="MENU" sheetId="16" r:id="rId1"/>
    <sheet name="Lista de Verificação" sheetId="18" r:id="rId2"/>
    <sheet name="Dados do Equipamento" sheetId="1" r:id="rId3"/>
    <sheet name="Kickoff" sheetId="15" r:id="rId4"/>
    <sheet name="Levantamento de dados" sheetId="11" r:id="rId5"/>
    <sheet name="Dados da Falha" sheetId="12" r:id="rId6"/>
    <sheet name="Linha do Tempo" sheetId="14" r:id="rId7"/>
    <sheet name="Conclusão" sheetId="13" r:id="rId8"/>
    <sheet name="Plano de Ação" sheetId="10" r:id="rId9"/>
    <sheet name="Anexos" sheetId="8" r:id="rId10"/>
    <sheet name="PFCEO_Equip" sheetId="6" r:id="rId11"/>
    <sheet name="Informações" sheetId="5" r:id="rId12"/>
    <sheet name="apoio" sheetId="2" r:id="rId13"/>
    <sheet name="Tabelas de Referência" sheetId="17" r:id="rId14"/>
  </sheets>
  <definedNames>
    <definedName name="_xlnm._FilterDatabase" localSheetId="10" hidden="1">PFCEO_Equip!$A$1:$G$658</definedName>
    <definedName name="_xlnm._FilterDatabase" localSheetId="13" hidden="1">'Tabelas de Referência'!$F$2:$F$7</definedName>
    <definedName name="bunda">#REF!+#REF!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4" l="1"/>
  <c r="C5" i="14"/>
  <c r="C6" i="14"/>
  <c r="C7" i="14"/>
  <c r="C8" i="14"/>
  <c r="C9" i="14"/>
  <c r="C4" i="14"/>
  <c r="D4" i="14" s="1"/>
  <c r="D5" i="1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Roberio Fonseca Padilha Junior</author>
  </authors>
  <commentList>
    <comment ref="C3" authorId="0" shapeId="0" xr:uid="{B6A5B85A-C843-49E3-8DE3-E095C179F24E}">
      <text>
        <r>
          <rPr>
            <b/>
            <sz val="16"/>
            <color indexed="81"/>
            <rFont val="Segoe UI"/>
            <family val="2"/>
          </rPr>
          <t>Impacto da ação na melhoria da confiabilidade, disponibilidade e segurança contando que a ação seja impleemntada e as suas abrangências.</t>
        </r>
      </text>
    </comment>
    <comment ref="D3" authorId="0" shapeId="0" xr:uid="{1780C85E-CDFA-49A1-9227-BD8AE3D7507C}">
      <text>
        <r>
          <rPr>
            <b/>
            <sz val="14"/>
            <color indexed="81"/>
            <rFont val="Segoe UI"/>
            <family val="2"/>
          </rPr>
          <t>Energia a ser consumida na fase na execução, cinsiderando a equipe que irá executar a atividade (incluir planejamento)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E3" authorId="0" shapeId="0" xr:uid="{1B9A6342-03BE-423F-AF5B-5CA16A116162}">
      <text>
        <r>
          <rPr>
            <b/>
            <sz val="16"/>
            <color indexed="81"/>
            <rFont val="Segoe UI"/>
            <family val="2"/>
          </rPr>
          <t xml:space="preserve">Classicação:
Energia x Impacto
Baixa e Baixa = Avaliar
Baixa x Alto = Executar
Alta x Baixo = Descartar (a não ser que seja uma ação de segurança)
Alta x Alto = Avaliar
</t>
        </r>
        <r>
          <rPr>
            <sz val="16"/>
            <color indexed="81"/>
            <rFont val="Segoe UI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<sst xmlns="http://schemas.openxmlformats.org/spreadsheetml/2006/main" count="4622" uniqueCount="1078">
  <si>
    <t>Item</t>
  </si>
  <si>
    <t>Verificação Emissor</t>
  </si>
  <si>
    <t>Verificação Revisor</t>
  </si>
  <si>
    <t>Dados e informações da análise:</t>
  </si>
  <si>
    <t>A numeração está conforme o RTA?</t>
  </si>
  <si>
    <t>A data de emissão está preenchida e correta?</t>
  </si>
  <si>
    <t>A chave do elaborador e do revisor do relatório estão indicadas?</t>
  </si>
  <si>
    <t>Os dados do roteiro da análise, do equipamento e da falha estão conforme o modelo?</t>
  </si>
  <si>
    <t>A definição da fronteira está conforme o modelo?</t>
  </si>
  <si>
    <t>Documentação e suporte à análise:</t>
  </si>
  <si>
    <t>A linha do tempo está elaborada e adequada?</t>
  </si>
  <si>
    <t>Há um diagrama, PI&amp;D ou descrição do sistema disponível?</t>
  </si>
  <si>
    <t>A descrição resumida do sistema está clara e suficiente?</t>
  </si>
  <si>
    <t>O histórico de intervenções no SAP está completo e atualizado?</t>
  </si>
  <si>
    <t>Os documentos de referência foram anexados e estão adequados?</t>
  </si>
  <si>
    <t>Plano de ação e recomendações:</t>
  </si>
  <si>
    <t>As recomendações e plano de ação foram elaborados?</t>
  </si>
  <si>
    <t>A lista de verificação do plano de ação está completa?</t>
  </si>
  <si>
    <t>Existem ações para todas as causas básicas primárias identificadas?</t>
  </si>
  <si>
    <t>O plano de ação elimina as causas básicas identificadas?</t>
  </si>
  <si>
    <t>O plano de ação consegue mitigar as consequências das falhas?</t>
  </si>
  <si>
    <t>O plano de ação requer recomendações de estudos de confiabilidade?</t>
  </si>
  <si>
    <t>Alguma ação do plano requer abrangência relevante para outras plataformas, sistemas ou gerências?</t>
  </si>
  <si>
    <t>Resultados e conclusões:</t>
  </si>
  <si>
    <t>O resultado do monitoramento preditivo está registrado?</t>
  </si>
  <si>
    <t>Os resultados dos monitoramentos no PI System estão apresentados?</t>
  </si>
  <si>
    <t>A análise de falha foi realizada de forma adequada?</t>
  </si>
  <si>
    <t>O diagrama de decisão da MCC está incluído e validado?</t>
  </si>
  <si>
    <t>A conclusão da análise está clara e objetiva?</t>
  </si>
  <si>
    <t>Avaliação da análise:</t>
  </si>
  <si>
    <t>Foi possível chegar aos fatores contribuintes? Se não, quais foram os motivos?</t>
  </si>
  <si>
    <t>Caso haja um motivo para não chegar às causas contribuintes básicas, quais ações foram tomadas para evitar isso?</t>
  </si>
  <si>
    <t>Quais são os pontos positivos identificados?</t>
  </si>
  <si>
    <t>O que poderia ser melhorado na análise de falha?</t>
  </si>
  <si>
    <t>Ações e tarefas:</t>
  </si>
  <si>
    <t>Exemplos de ações foram considerados para atuar nas causas básicas, tais como:</t>
  </si>
  <si>
    <t>Revisão de lista técnica?</t>
  </si>
  <si>
    <t>Revisão ou elaboração de contratos?</t>
  </si>
  <si>
    <t>Contratação de serviços especializados?</t>
  </si>
  <si>
    <t>Revisão de planos de manutenção ou estratégia?</t>
  </si>
  <si>
    <t>Elaboração ou revisão de procedimentos?</t>
  </si>
  <si>
    <t>Monitoramento de variáveis?</t>
  </si>
  <si>
    <t>Alteração de projeto?</t>
  </si>
  <si>
    <t>Todas as tarefas estão descritas com verbos no infinitivo?</t>
  </si>
  <si>
    <t>Todas as tarefas estão com responsáveis e prazos definidos?</t>
  </si>
  <si>
    <t>Os prazos estabelecidos estão adequados com a necessidade do negócio?</t>
  </si>
  <si>
    <t>A estratégia de manutenção definida está adequada para esse modo de falha?</t>
  </si>
  <si>
    <t>Campos em azul são opcionais, a depender do tipo de equipamento e do modo de falha</t>
  </si>
  <si>
    <t>Indústria</t>
  </si>
  <si>
    <t>Petróleo</t>
  </si>
  <si>
    <t>ISO 14224</t>
  </si>
  <si>
    <t>Categoria</t>
  </si>
  <si>
    <t>Upstream</t>
  </si>
  <si>
    <t>Instalação</t>
  </si>
  <si>
    <t>Produção Petróleo/Gás</t>
  </si>
  <si>
    <t>Planta</t>
  </si>
  <si>
    <t>Plataforma</t>
  </si>
  <si>
    <t>P71</t>
  </si>
  <si>
    <t>N-1710</t>
  </si>
  <si>
    <t>Sistema</t>
  </si>
  <si>
    <t>FSGP - Sist de Geração Principal</t>
  </si>
  <si>
    <t>PFCEO</t>
  </si>
  <si>
    <t>TAG</t>
  </si>
  <si>
    <t>SAP</t>
  </si>
  <si>
    <t>Número Equipamento PFCEO</t>
  </si>
  <si>
    <t>PFECO</t>
  </si>
  <si>
    <t>Centro Planejamento</t>
  </si>
  <si>
    <t>Local de Instalação SAP</t>
  </si>
  <si>
    <t>Número Equipamento SAP</t>
  </si>
  <si>
    <t>Categoria de Equipamento</t>
  </si>
  <si>
    <t>Classe de Equipamento</t>
  </si>
  <si>
    <t>Fluido bombeado</t>
  </si>
  <si>
    <t>Detalhe do equipamento</t>
  </si>
  <si>
    <t>Fabricante</t>
  </si>
  <si>
    <t>Modelo</t>
  </si>
  <si>
    <t>Número de série</t>
  </si>
  <si>
    <t>Ano de fabricação</t>
  </si>
  <si>
    <t>Vazão</t>
  </si>
  <si>
    <t>Pressão sucção</t>
  </si>
  <si>
    <t>Pressão de descarga</t>
  </si>
  <si>
    <t>Diferença de pressão</t>
  </si>
  <si>
    <t>Head</t>
  </si>
  <si>
    <t>NPSHa</t>
  </si>
  <si>
    <t>Norma de fabricação</t>
  </si>
  <si>
    <t>Potência</t>
  </si>
  <si>
    <t>Tipo de corpo</t>
  </si>
  <si>
    <t>Posição</t>
  </si>
  <si>
    <t>Selagem</t>
  </si>
  <si>
    <t>Tipo de Transmissão</t>
  </si>
  <si>
    <t>Acoplamento</t>
  </si>
  <si>
    <t>Tipo de mancal</t>
  </si>
  <si>
    <t>Tipo de serviço</t>
  </si>
  <si>
    <t>Subunidade</t>
  </si>
  <si>
    <t>Se aplicável, ISO 14224</t>
  </si>
  <si>
    <t>Componente</t>
  </si>
  <si>
    <t>Se aplicável, ISO 14225</t>
  </si>
  <si>
    <t>Qual o item que será analisado?</t>
  </si>
  <si>
    <t>Fronteiras conforme ISO 1424</t>
  </si>
  <si>
    <t>Ordem de correção</t>
  </si>
  <si>
    <t>(1) até o fechamento do relatório</t>
  </si>
  <si>
    <t>SISTEMA</t>
  </si>
  <si>
    <t>Qual o problema?</t>
  </si>
  <si>
    <t>Qual a causa da falha imediata?</t>
  </si>
  <si>
    <t>O que sabemos?</t>
  </si>
  <si>
    <t>5.1</t>
  </si>
  <si>
    <t>5.2</t>
  </si>
  <si>
    <t>5.3</t>
  </si>
  <si>
    <t>5.4</t>
  </si>
  <si>
    <t>5.5</t>
  </si>
  <si>
    <t>5.6</t>
  </si>
  <si>
    <t>5.7</t>
  </si>
  <si>
    <t>5.8</t>
  </si>
  <si>
    <t>5.9</t>
  </si>
  <si>
    <t>Já aconreceu antes?</t>
  </si>
  <si>
    <t>Quais as possíveis causas?</t>
  </si>
  <si>
    <t>Levantamento de dados (ver planilha)</t>
  </si>
  <si>
    <t>N</t>
  </si>
  <si>
    <t>Atividade</t>
  </si>
  <si>
    <t>Responsável</t>
  </si>
  <si>
    <t>Prazo</t>
  </si>
  <si>
    <t>Observação</t>
  </si>
  <si>
    <t>O que não sabemos?</t>
  </si>
  <si>
    <t>Que dados/informaçaões necessitamos levantar?</t>
  </si>
  <si>
    <t>Anomalia</t>
  </si>
  <si>
    <t>Data de início da falha:</t>
  </si>
  <si>
    <t>Data de fim da falha</t>
  </si>
  <si>
    <t>Horas de operação até a falha</t>
  </si>
  <si>
    <t>Impacto da Falha (1)</t>
  </si>
  <si>
    <t>(1) Impacto na falha no equipamento, refere-se aos danos aos equipamentto.</t>
  </si>
  <si>
    <t>Pontos chaves</t>
  </si>
  <si>
    <t>Baixo</t>
  </si>
  <si>
    <t>Pequenos danos ao equipamento, sendo normalmente manutenidos à bordo</t>
  </si>
  <si>
    <t>Serviço offshore; Poucas Peças; Realizada pela equipe de bordo; Falhas esperadas</t>
  </si>
  <si>
    <t>Médio</t>
  </si>
  <si>
    <t>Impactos razoáveis ao equipamento, requerendo a substituição de algumas peças e/ou requer a necessidade de equipe especializada, mas ainda pode ser realizada à bordo</t>
  </si>
  <si>
    <t>Serviços offshore; Algumas peças; Já requer equipe de 2° ou 3°  escalão; Falhas não esperadas.</t>
  </si>
  <si>
    <t>Alto</t>
  </si>
  <si>
    <t>Danos severos ao equipamento, requerendo a descida do equipamento para a realização da manutenção em oficiana especializada.</t>
  </si>
  <si>
    <t>Serviços onshore; Muitas peças; Equipe de 3° escalão; Falhas catastróficas.</t>
  </si>
  <si>
    <t>Linha do Tempo</t>
  </si>
  <si>
    <t>Data</t>
  </si>
  <si>
    <t>Dias</t>
  </si>
  <si>
    <t>Acum.</t>
  </si>
  <si>
    <t>Evento</t>
  </si>
  <si>
    <t>Causa imediata</t>
  </si>
  <si>
    <t>Modo de Falha</t>
  </si>
  <si>
    <t>Mecanismo da falha</t>
  </si>
  <si>
    <t>Causas básica</t>
  </si>
  <si>
    <t>Causas básica (subdivisão)</t>
  </si>
  <si>
    <t>Mecanismo de falha</t>
  </si>
  <si>
    <t>Causa da falha</t>
  </si>
  <si>
    <t>Método de detecção</t>
  </si>
  <si>
    <t>Modos de falha</t>
  </si>
  <si>
    <t>Subunidade com falha</t>
  </si>
  <si>
    <t>Falha no componente/ item manutenível</t>
  </si>
  <si>
    <t>Tempo fora de operação (down time)</t>
  </si>
  <si>
    <t>Tempo efetivo de manutenção</t>
  </si>
  <si>
    <t>Balanço entre manutenção preventiva e corretiva</t>
  </si>
  <si>
    <t>Atividade de manutenção realizada/planejada</t>
  </si>
  <si>
    <t>CANCELADA</t>
  </si>
  <si>
    <t/>
  </si>
  <si>
    <t>Plano de Ação</t>
  </si>
  <si>
    <t>Tarefa</t>
  </si>
  <si>
    <t>Impacto</t>
  </si>
  <si>
    <t>Esforço</t>
  </si>
  <si>
    <t>Classificação</t>
  </si>
  <si>
    <t>Causa Básica</t>
  </si>
  <si>
    <t>Resp.</t>
  </si>
  <si>
    <t>Gerência</t>
  </si>
  <si>
    <t>Prazo (dias)</t>
  </si>
  <si>
    <t>Início</t>
  </si>
  <si>
    <t>Término</t>
  </si>
  <si>
    <t>Cód.</t>
  </si>
  <si>
    <t>Ativo</t>
  </si>
  <si>
    <t>UEP</t>
  </si>
  <si>
    <t>Função</t>
  </si>
  <si>
    <t>Equipamento</t>
  </si>
  <si>
    <t>Monitoramento</t>
  </si>
  <si>
    <t>ATP-IMI</t>
  </si>
  <si>
    <t>P-68</t>
  </si>
  <si>
    <t>FAPO - Sist de Água Potável</t>
  </si>
  <si>
    <t>Unidade Dessanilizadora</t>
  </si>
  <si>
    <t>UD-5122501A</t>
  </si>
  <si>
    <t>UD-5122501B</t>
  </si>
  <si>
    <t>FECC - Sist de Corrente Contínua ou UPS</t>
  </si>
  <si>
    <t>Alimentar energia elétrica aos sistemas essenciais</t>
  </si>
  <si>
    <t>UPS-5265501A*</t>
  </si>
  <si>
    <t>UPS-5265501B*</t>
  </si>
  <si>
    <t>FEEP - Sist de Distribuição Principal</t>
  </si>
  <si>
    <t>Distribuir energia elétrica - CCM produção 4,16kV</t>
  </si>
  <si>
    <t>TF-5143001A</t>
  </si>
  <si>
    <t>TF-5143001B</t>
  </si>
  <si>
    <t>Distribuir energia elétrica - CDC produção 480V</t>
  </si>
  <si>
    <t>TF-5143002A</t>
  </si>
  <si>
    <t>TF-5143002B</t>
  </si>
  <si>
    <t>Distribuir energia elétrica - CDC utilidades - 480V</t>
  </si>
  <si>
    <t>TF-5143501A</t>
  </si>
  <si>
    <t>TF-5143501B</t>
  </si>
  <si>
    <t>Distribuir energia elétrica - GDU</t>
  </si>
  <si>
    <t>TF-P-UT-1233001-01A</t>
  </si>
  <si>
    <t>TF-P-UT-1233001-01B</t>
  </si>
  <si>
    <t>FSAC - Sist de Ar Comprim de Serv e Instrum</t>
  </si>
  <si>
    <t>Compressão de Ar de Instrumento</t>
  </si>
  <si>
    <t>C-UC-5134501A</t>
  </si>
  <si>
    <t>C-UC-5134501B</t>
  </si>
  <si>
    <t>C-UC-5134501C</t>
  </si>
  <si>
    <t>FSAQ - Sist de Água Quente de Processo</t>
  </si>
  <si>
    <t>Aquecimento de Água</t>
  </si>
  <si>
    <t>P-TG-5147001A*</t>
  </si>
  <si>
    <t>P-TG-5147001B*</t>
  </si>
  <si>
    <t>P-TG-5147001C*</t>
  </si>
  <si>
    <t>P-TG-5147001D*</t>
  </si>
  <si>
    <t>Bombeio de Água Quente</t>
  </si>
  <si>
    <t>B-5125001A*</t>
  </si>
  <si>
    <t>B-5125001B*</t>
  </si>
  <si>
    <t>B-5125001C*</t>
  </si>
  <si>
    <t>FSAR - Sist de Condicionamento de Ar</t>
  </si>
  <si>
    <t>Refrigerar Casario</t>
  </si>
  <si>
    <t>UR-5252501A*</t>
  </si>
  <si>
    <t>UR-5252501B*</t>
  </si>
  <si>
    <t>UR-5252501C*</t>
  </si>
  <si>
    <t>Refrigerar M-13 Piso 3</t>
  </si>
  <si>
    <t>AC-5252001A</t>
  </si>
  <si>
    <t>AC-5252001B</t>
  </si>
  <si>
    <t>Refrigerar M-13 Pisos 1 e 2</t>
  </si>
  <si>
    <t>AC-5252002A</t>
  </si>
  <si>
    <t>AC-5252002B</t>
  </si>
  <si>
    <t>AC-5252002C</t>
  </si>
  <si>
    <t>FSCA - Sist de Captação de Água Salgada</t>
  </si>
  <si>
    <t>Bombeio de Captação</t>
  </si>
  <si>
    <t>B-5111001A*</t>
  </si>
  <si>
    <t>B-5111001B*</t>
  </si>
  <si>
    <t>B-5111001C*</t>
  </si>
  <si>
    <t>B-5111001D*</t>
  </si>
  <si>
    <t>Bombeio de Captação - Praça de Máquinas</t>
  </si>
  <si>
    <t>B-5111501A*</t>
  </si>
  <si>
    <t>B-5111501B*</t>
  </si>
  <si>
    <t>Geração de Hipoclorito de Sódio Ré</t>
  </si>
  <si>
    <t>E-UE-5121501-A</t>
  </si>
  <si>
    <t>E-UE-5121501-B</t>
  </si>
  <si>
    <t>Geração de Hipoclorito de Sódio Vante</t>
  </si>
  <si>
    <t>E-UE-5121502-A</t>
  </si>
  <si>
    <t>E-UE-5121502-B</t>
  </si>
  <si>
    <t>FSCI - Sist de Combate a Incêndio</t>
  </si>
  <si>
    <t>Bomba de Combate a Incêndio</t>
  </si>
  <si>
    <t>B-5420501A</t>
  </si>
  <si>
    <t>B-5420501B</t>
  </si>
  <si>
    <t>Bomba Jockey de Combate a Incêndio</t>
  </si>
  <si>
    <t>B-5420502A</t>
  </si>
  <si>
    <t>B-5420502B</t>
  </si>
  <si>
    <t>FSGE - Sist de Geração de Emergência</t>
  </si>
  <si>
    <t>Geração de Energia Emergência</t>
  </si>
  <si>
    <t>GE-5261501*</t>
  </si>
  <si>
    <t>Gerar Energia Elétrica</t>
  </si>
  <si>
    <t>GE-TG-5147001A</t>
  </si>
  <si>
    <t>GE-TG-5147001B</t>
  </si>
  <si>
    <t>GE-TG-5147001C</t>
  </si>
  <si>
    <t>GE-TG-5147001D</t>
  </si>
  <si>
    <t>FSHI - Sist Hidráulico Centralizado</t>
  </si>
  <si>
    <t>HPU Topside</t>
  </si>
  <si>
    <t>UH-5139001</t>
  </si>
  <si>
    <t>FSRA - Sist de Água de Resfriamento</t>
  </si>
  <si>
    <t>Bombear Água de Resfriamento - Classificada</t>
  </si>
  <si>
    <t>B-5124001A*</t>
  </si>
  <si>
    <t>B-5124001B*</t>
  </si>
  <si>
    <t>B-5124001C*</t>
  </si>
  <si>
    <t>Bombear Água de Resfriamento - Não Classificada</t>
  </si>
  <si>
    <t>B-5124002A*</t>
  </si>
  <si>
    <t>B-5124002B*</t>
  </si>
  <si>
    <t>Bombear Água de Resfriamento - Praça de Máquinas</t>
  </si>
  <si>
    <t>B-5124501A*</t>
  </si>
  <si>
    <t>B-5124501B*</t>
  </si>
  <si>
    <t>Resfriar Água de Resfriamento - Classificada</t>
  </si>
  <si>
    <t>P-5124002A</t>
  </si>
  <si>
    <t>P-5124002B</t>
  </si>
  <si>
    <t>P-5124002C</t>
  </si>
  <si>
    <t>P-5124002D</t>
  </si>
  <si>
    <t>P-5124003*</t>
  </si>
  <si>
    <t>Resfriar Água de Resfriamento - Não Classificada</t>
  </si>
  <si>
    <t>P-5124001A</t>
  </si>
  <si>
    <t>P-5124001B</t>
  </si>
  <si>
    <t>Resfriar Água de Resfriamento - Praça de Máquinas</t>
  </si>
  <si>
    <t>P-5124501A*</t>
  </si>
  <si>
    <t>P-5124501B*</t>
  </si>
  <si>
    <t>FSSV - Sist de Salvatagem</t>
  </si>
  <si>
    <t>Baleeiras</t>
  </si>
  <si>
    <t>EB-5431502A</t>
  </si>
  <si>
    <t>EB-5431502B</t>
  </si>
  <si>
    <t>EB-5431502C</t>
  </si>
  <si>
    <t>EB-5431502D</t>
  </si>
  <si>
    <t>FSTD - Sist de Tratamento Dejetos Sanitários</t>
  </si>
  <si>
    <t>Tratamento de Despejos Sanitários</t>
  </si>
  <si>
    <t>Z-5312501</t>
  </si>
  <si>
    <t>PDFC - Sist Drenag Fech Área Classif Recup Cond</t>
  </si>
  <si>
    <t>Bombeamento do Slope Vessel</t>
  </si>
  <si>
    <t>B-5336001A*</t>
  </si>
  <si>
    <t>B-5336001B*</t>
  </si>
  <si>
    <t>PSAI - Sist de Injeção de Água</t>
  </si>
  <si>
    <t>Bombear Água de Injeção</t>
  </si>
  <si>
    <t>B-1251002A*</t>
  </si>
  <si>
    <t>B-1251002B*</t>
  </si>
  <si>
    <t>Bombear Água de Injeção - Booster</t>
  </si>
  <si>
    <t>B-1251001A*</t>
  </si>
  <si>
    <t>B-1251001B*</t>
  </si>
  <si>
    <t>B-1251001C*</t>
  </si>
  <si>
    <t>Bombear Água de Injeção - Feedpump</t>
  </si>
  <si>
    <t>B-UT-1251001-01A</t>
  </si>
  <si>
    <t>B-UT-1251001-01B</t>
  </si>
  <si>
    <t>Desaerar Água de Injeção - Bomba de Vácuo</t>
  </si>
  <si>
    <t>B-Z-UT-1251002A</t>
  </si>
  <si>
    <t>B-Z-UT-1251002B</t>
  </si>
  <si>
    <t>Filtrar Água de Injeção - Filtro Fino</t>
  </si>
  <si>
    <t>FT-UT-1251001-01A*</t>
  </si>
  <si>
    <t>FT-UT-1251001-01B*</t>
  </si>
  <si>
    <t>FT-UT-1251001-01C*</t>
  </si>
  <si>
    <t>Remover SO4 da Água de Injeção - Membrana da URS</t>
  </si>
  <si>
    <t>UT-1251001A</t>
  </si>
  <si>
    <t>UT-1251001B</t>
  </si>
  <si>
    <t>UT-1251001C</t>
  </si>
  <si>
    <t>UT-1251001D</t>
  </si>
  <si>
    <t>UT-1251001E</t>
  </si>
  <si>
    <t>PSCC - Sist de Compressão de CO2</t>
  </si>
  <si>
    <t>Compressão de CO2</t>
  </si>
  <si>
    <t>UC-1254001A</t>
  </si>
  <si>
    <t>UC-1254001B</t>
  </si>
  <si>
    <t>PSCG - Sist de Compressão/Recompressão de Gás</t>
  </si>
  <si>
    <t>Compressão de Exportação</t>
  </si>
  <si>
    <t>C-UC-1231002A</t>
  </si>
  <si>
    <t>C-UC-1231002B</t>
  </si>
  <si>
    <t>C-UC-1231002C</t>
  </si>
  <si>
    <t>Compressão Principal</t>
  </si>
  <si>
    <t>C-UC-1231001A*</t>
  </si>
  <si>
    <t>C-UC-1231001B*</t>
  </si>
  <si>
    <t>C-UC-1231001C*</t>
  </si>
  <si>
    <t>PSCP - Sist Controle Poços - Un. Hidráulica</t>
  </si>
  <si>
    <t>Bombear Fluido Hidráulico - HP (Elétrica)</t>
  </si>
  <si>
    <t>B-UH-1210001-02A</t>
  </si>
  <si>
    <t>B-UH-1210001-02B</t>
  </si>
  <si>
    <t>Bombear Fluido Hidráulico - LP (Elétrica)</t>
  </si>
  <si>
    <t>B-UH-1210001-01A</t>
  </si>
  <si>
    <t>B-UH-1210001-01B</t>
  </si>
  <si>
    <t>B-UH-1210001-01C</t>
  </si>
  <si>
    <t>B-UH-1210001-01D</t>
  </si>
  <si>
    <t>PSFL - Sist de Flare</t>
  </si>
  <si>
    <t>Aliviar Gás - HP</t>
  </si>
  <si>
    <t>TA-5412001</t>
  </si>
  <si>
    <t>Aliviar Gás - LP</t>
  </si>
  <si>
    <t>TA-5412002</t>
  </si>
  <si>
    <t>PSGC - Sist de Gás Combustivel</t>
  </si>
  <si>
    <t>Aquecer Gás Combustível</t>
  </si>
  <si>
    <t>P-5135002</t>
  </si>
  <si>
    <t>PSGI - Sist de Gás Inerte</t>
  </si>
  <si>
    <t>Comprimir Nitrogênio</t>
  </si>
  <si>
    <t>C-Z-5241001-01</t>
  </si>
  <si>
    <t>C-Z-5241001-02</t>
  </si>
  <si>
    <t>Gerar Gás Inerte</t>
  </si>
  <si>
    <t>GG-5241501A</t>
  </si>
  <si>
    <t>GG-5241501B</t>
  </si>
  <si>
    <t>Gerar Nitrogênio</t>
  </si>
  <si>
    <t>SG-Z-5241001</t>
  </si>
  <si>
    <t>Soprar Gás Inerte</t>
  </si>
  <si>
    <t>SP-GG-5241501A</t>
  </si>
  <si>
    <t>SP-GG-5241501B</t>
  </si>
  <si>
    <t>PSIG - Sist de Distribuição Gás para Injeção</t>
  </si>
  <si>
    <t>Compressão de Injeção</t>
  </si>
  <si>
    <t>C-UC-1252001A*</t>
  </si>
  <si>
    <t>C-UC-1252001B*</t>
  </si>
  <si>
    <t>PSIQ - Sist de Injeção Química</t>
  </si>
  <si>
    <t>Injeção de Antiespumante</t>
  </si>
  <si>
    <t>B-UQ-1261001-01A</t>
  </si>
  <si>
    <t>B-UQ-1261001-01B</t>
  </si>
  <si>
    <t>Injeção de Desemulsificante</t>
  </si>
  <si>
    <t>B-UQ-1261001-02A</t>
  </si>
  <si>
    <t>B-UQ-1261001-02B</t>
  </si>
  <si>
    <t>Injeção de Sequestrante de Oxigênio</t>
  </si>
  <si>
    <t>B-UQ-1263001-01A</t>
  </si>
  <si>
    <t>B-UQ-1263001-01B</t>
  </si>
  <si>
    <t>Injetar Inibidor de Incrustação - URS</t>
  </si>
  <si>
    <t>B-UQ-UT-1251001-02A</t>
  </si>
  <si>
    <t>B-UQ-UT-1251001-02B</t>
  </si>
  <si>
    <t>Injetar Sequestrante de Cloro</t>
  </si>
  <si>
    <t>B-UQ-UT-1251001-03A</t>
  </si>
  <si>
    <t>B-UQ-UT-1251001-03B</t>
  </si>
  <si>
    <t>PSOF - Sist de Offloading</t>
  </si>
  <si>
    <t>Bombeio de Água do Offloading</t>
  </si>
  <si>
    <t>B-5336501A</t>
  </si>
  <si>
    <t>B-5336501B</t>
  </si>
  <si>
    <t>Bombeio de Transferência para Aliviador</t>
  </si>
  <si>
    <t>B-1358501-01P</t>
  </si>
  <si>
    <t>B-1358501-01S</t>
  </si>
  <si>
    <t>B-1358501-02P</t>
  </si>
  <si>
    <t>B-1358501-02S</t>
  </si>
  <si>
    <t>B-1358501-03P</t>
  </si>
  <si>
    <t>B-1358501-03S</t>
  </si>
  <si>
    <t>B-1358501-04P</t>
  </si>
  <si>
    <t>B-1358501-04S</t>
  </si>
  <si>
    <t>B-1358501-05P</t>
  </si>
  <si>
    <t>B-1358501-05S</t>
  </si>
  <si>
    <t>B-1358501-06P</t>
  </si>
  <si>
    <t>B-1358501-06S</t>
  </si>
  <si>
    <t>Transferir Óleo Para Aliviador</t>
  </si>
  <si>
    <t>U-1359501A</t>
  </si>
  <si>
    <t>U-1359501B</t>
  </si>
  <si>
    <t>PSSE - Sist de Separação de Fluídos</t>
  </si>
  <si>
    <t>Separação Trifásica (F.W.K.D.)</t>
  </si>
  <si>
    <t>SG-1223001*</t>
  </si>
  <si>
    <t>PSTA - Sist de Tratamento de Água Produzida</t>
  </si>
  <si>
    <t>Flotador</t>
  </si>
  <si>
    <t>FL-UT-5331001A*</t>
  </si>
  <si>
    <t>FL-UT-5331001B*</t>
  </si>
  <si>
    <t>Skim Vessel (Flash)</t>
  </si>
  <si>
    <t>V-5331001*</t>
  </si>
  <si>
    <t>PSTG - Sist de Tratamento de Gás</t>
  </si>
  <si>
    <t>Aquecedor do condensado do filtro coalescedor</t>
  </si>
  <si>
    <t>P-UT-1233001-03*</t>
  </si>
  <si>
    <t>Aquecedor Membranas</t>
  </si>
  <si>
    <t>P-UT-1235002A*</t>
  </si>
  <si>
    <t>P-UT-1235002B*</t>
  </si>
  <si>
    <t>Aquecimento de Gás da Regeneração</t>
  </si>
  <si>
    <t>P-UT-1233001-01A</t>
  </si>
  <si>
    <t>P-UT-1233001-01B</t>
  </si>
  <si>
    <t>P-UT-1233001-04*</t>
  </si>
  <si>
    <t>Desidratar Gás - Peneira Molecular</t>
  </si>
  <si>
    <t>V-UT-1233001-02A</t>
  </si>
  <si>
    <t>V-UT-1233001-02B</t>
  </si>
  <si>
    <t>V-UT-1233001-02C</t>
  </si>
  <si>
    <t>Filtro Coalescedor</t>
  </si>
  <si>
    <t>FT-UT-1233001-03A*</t>
  </si>
  <si>
    <t>FT-UT-1233001-03B*</t>
  </si>
  <si>
    <t>Filtro Coalescedor da UAPO</t>
  </si>
  <si>
    <t>FT-1238001A</t>
  </si>
  <si>
    <t>FT-1238001B</t>
  </si>
  <si>
    <t>Filtro de Particulado</t>
  </si>
  <si>
    <t>FT-UT-1233001-02A</t>
  </si>
  <si>
    <t>FT-UT-1233001-02B</t>
  </si>
  <si>
    <t>Membranas Remoção de CO2</t>
  </si>
  <si>
    <t>Z-UT-1235002A*</t>
  </si>
  <si>
    <t>Z-UT-1235002B*</t>
  </si>
  <si>
    <t>Z-UT-1235002C*</t>
  </si>
  <si>
    <t>Z-UT-1235002D*</t>
  </si>
  <si>
    <t>Pré -Membranas</t>
  </si>
  <si>
    <t>Z-UT-1235001A*</t>
  </si>
  <si>
    <t>Z-UT-1235001B*</t>
  </si>
  <si>
    <t>Z-UT-1235001C*</t>
  </si>
  <si>
    <t>Pré Aquecedor das Membranas</t>
  </si>
  <si>
    <t>P-UT-1235001*</t>
  </si>
  <si>
    <t>Regeneração - Soprador</t>
  </si>
  <si>
    <t>SP-UT-1233001A*</t>
  </si>
  <si>
    <t>SP-UT-1233001B*</t>
  </si>
  <si>
    <t>Resfriador do resíduo remoção de CO2</t>
  </si>
  <si>
    <t>P-UT-1235003*</t>
  </si>
  <si>
    <t>Resfriamento de gás da regeneração</t>
  </si>
  <si>
    <t>P-UT-1233001-02*</t>
  </si>
  <si>
    <t>Resfriamento de gás na entrada da GDU</t>
  </si>
  <si>
    <t>P-1233001*</t>
  </si>
  <si>
    <t>PSTP - Sist de Tratamento de Petróleo</t>
  </si>
  <si>
    <t>Aquecimento de Petróleo</t>
  </si>
  <si>
    <t>P-1223002A</t>
  </si>
  <si>
    <t>P-1223002B</t>
  </si>
  <si>
    <t>Bombeio de Transferência</t>
  </si>
  <si>
    <t>B-1223003A*</t>
  </si>
  <si>
    <t>B-1223003B*</t>
  </si>
  <si>
    <t>B-1223003C*</t>
  </si>
  <si>
    <t>Desidratação de Óleo (T.O.)</t>
  </si>
  <si>
    <t>TO-1223001*</t>
  </si>
  <si>
    <t>TO-1223002*</t>
  </si>
  <si>
    <t>Preaquecimento de Petróleo</t>
  </si>
  <si>
    <t>P-1223001A</t>
  </si>
  <si>
    <t>P-1223001B</t>
  </si>
  <si>
    <t>PURV - Unidade Recuperadora de Vapor</t>
  </si>
  <si>
    <t>Recuperar Vapor</t>
  </si>
  <si>
    <t>C-UC-1225001</t>
  </si>
  <si>
    <t>P-70</t>
  </si>
  <si>
    <t>UPS-5265501A</t>
  </si>
  <si>
    <t>UPS-5265501B</t>
  </si>
  <si>
    <t>UR-5252501A</t>
  </si>
  <si>
    <t>UR-5252501B</t>
  </si>
  <si>
    <t>UR-5252501C</t>
  </si>
  <si>
    <t xml:space="preserve">GE-5261501	</t>
  </si>
  <si>
    <t>P-71</t>
  </si>
  <si>
    <t>P-TG-5147001A</t>
  </si>
  <si>
    <t>P-TG-5147001B</t>
  </si>
  <si>
    <t>P-TG-5147001C</t>
  </si>
  <si>
    <t>P-TG-5147001D</t>
  </si>
  <si>
    <t>B-5125001A</t>
  </si>
  <si>
    <t>B-5125001B</t>
  </si>
  <si>
    <t>B-5125001C</t>
  </si>
  <si>
    <t>B-5111001A</t>
  </si>
  <si>
    <t>B-5111001B</t>
  </si>
  <si>
    <t>B-5111001C</t>
  </si>
  <si>
    <t>B-5111001D</t>
  </si>
  <si>
    <t>B-5111501A</t>
  </si>
  <si>
    <t>B-5111501B</t>
  </si>
  <si>
    <t>GE-5261501</t>
  </si>
  <si>
    <t>B-5124001A</t>
  </si>
  <si>
    <t>B-5124001B</t>
  </si>
  <si>
    <t>B-5124001C</t>
  </si>
  <si>
    <t>B-5124002A</t>
  </si>
  <si>
    <t>B-5124002B</t>
  </si>
  <si>
    <t>B-5124501A</t>
  </si>
  <si>
    <t>B-5124501B</t>
  </si>
  <si>
    <t>P-5124003</t>
  </si>
  <si>
    <t>P-5124501A</t>
  </si>
  <si>
    <t>P-5124501B</t>
  </si>
  <si>
    <t>B-5336001A</t>
  </si>
  <si>
    <t>B-5336001B</t>
  </si>
  <si>
    <t>B-1251002A</t>
  </si>
  <si>
    <t>B-1251002B</t>
  </si>
  <si>
    <t>B-1251001A</t>
  </si>
  <si>
    <t>B-1251001B</t>
  </si>
  <si>
    <t>B-1251001C</t>
  </si>
  <si>
    <t>FT-UT-1251001-01A</t>
  </si>
  <si>
    <t>FT-UT-1251001-01B</t>
  </si>
  <si>
    <t>FT-UT-1251001-01C</t>
  </si>
  <si>
    <t>C-UC-1231001A</t>
  </si>
  <si>
    <t>C-UC-1231001B</t>
  </si>
  <si>
    <t>C-UC-1231001C</t>
  </si>
  <si>
    <t>PSGC - Sistema Gas Combustivel</t>
  </si>
  <si>
    <t>P-5135002 PERMUTADOR</t>
  </si>
  <si>
    <t>V-Z-5241002</t>
  </si>
  <si>
    <t>C-UC-1252001A</t>
  </si>
  <si>
    <t>C-UC-1252001B</t>
  </si>
  <si>
    <t>SG-1223001</t>
  </si>
  <si>
    <t>FL-UT-5331001A</t>
  </si>
  <si>
    <t>FL-UT-5331001B</t>
  </si>
  <si>
    <t>V-5331001</t>
  </si>
  <si>
    <t>Aquecedor do gás de entrada</t>
  </si>
  <si>
    <t>P-1233002</t>
  </si>
  <si>
    <t>P-UT-1233001-04</t>
  </si>
  <si>
    <t>FT-UT-1233001-03A</t>
  </si>
  <si>
    <t>FT-UT-1233001-03B</t>
  </si>
  <si>
    <t>SP-UT-1233001A</t>
  </si>
  <si>
    <t>SP-UT-1233001B</t>
  </si>
  <si>
    <t>P-UT-1235003</t>
  </si>
  <si>
    <t>B-1223003A</t>
  </si>
  <si>
    <t>B-1223003B</t>
  </si>
  <si>
    <t>B-1223003C</t>
  </si>
  <si>
    <t>TO-1223001</t>
  </si>
  <si>
    <t>TO-1223002</t>
  </si>
  <si>
    <t>Resfriamento de Petróleo</t>
  </si>
  <si>
    <t>P-1223005A</t>
  </si>
  <si>
    <t>P-1223005B</t>
  </si>
  <si>
    <t>PMXL-1</t>
  </si>
  <si>
    <t>UD-5122001A</t>
  </si>
  <si>
    <t>UD-5122001B</t>
  </si>
  <si>
    <t>UPS-5265001A</t>
  </si>
  <si>
    <t>UPS-5265001B</t>
  </si>
  <si>
    <t>TF-1227001A</t>
  </si>
  <si>
    <t>TF-1227001B</t>
  </si>
  <si>
    <t>TF-1227001C</t>
  </si>
  <si>
    <t>UC-5134001A</t>
  </si>
  <si>
    <t>UC-5134001B</t>
  </si>
  <si>
    <t>UC-5134001C</t>
  </si>
  <si>
    <t>F-5125001*</t>
  </si>
  <si>
    <t>P-GE-5147001A*</t>
  </si>
  <si>
    <t>P-GE-5147001B*</t>
  </si>
  <si>
    <t>P-GE-5147001C*</t>
  </si>
  <si>
    <t>UR-5252001A</t>
  </si>
  <si>
    <t>UR-5252001B</t>
  </si>
  <si>
    <t>UR-5252001C</t>
  </si>
  <si>
    <t>Bombeio de Água - Aquecimento do Gás da Importação</t>
  </si>
  <si>
    <t>B-5111701A</t>
  </si>
  <si>
    <t>B-5111701B</t>
  </si>
  <si>
    <t>B-5111701C</t>
  </si>
  <si>
    <t>Geração de Hipoclorito de Sódio</t>
  </si>
  <si>
    <t>UE-5111001</t>
  </si>
  <si>
    <t>B-UB-5420001A</t>
  </si>
  <si>
    <t>B-UB-5420001B</t>
  </si>
  <si>
    <t>GE-5261001*</t>
  </si>
  <si>
    <t>GE-5147001A</t>
  </si>
  <si>
    <t>GE-5147001B</t>
  </si>
  <si>
    <t>GE-5147001C</t>
  </si>
  <si>
    <t>B-UH-5139002A</t>
  </si>
  <si>
    <t>B-UH-5139002B</t>
  </si>
  <si>
    <t>B-5124003A*</t>
  </si>
  <si>
    <t>B-5124003B*</t>
  </si>
  <si>
    <t>B-5124003C*</t>
  </si>
  <si>
    <t>P-5124002A*</t>
  </si>
  <si>
    <t>P-5124002B*</t>
  </si>
  <si>
    <t>EB-5430002A</t>
  </si>
  <si>
    <t>EB-5430002B</t>
  </si>
  <si>
    <t>EB-5430002C</t>
  </si>
  <si>
    <t>Z-5312001</t>
  </si>
  <si>
    <t>Z-5312002</t>
  </si>
  <si>
    <t>PSCO - Sist de Coleta de Superfície</t>
  </si>
  <si>
    <t>Aquecer Gás - Importação</t>
  </si>
  <si>
    <t>P-1210701A</t>
  </si>
  <si>
    <t>P-1210701B</t>
  </si>
  <si>
    <t>P-1210701C</t>
  </si>
  <si>
    <t>P-1210701D</t>
  </si>
  <si>
    <t xml:space="preserve">Bombear Óleo Hidráulico - HIPPS (Elétrica) </t>
  </si>
  <si>
    <t>B-1210701A</t>
  </si>
  <si>
    <t>B-1210701B</t>
  </si>
  <si>
    <t>B-1210702</t>
  </si>
  <si>
    <t xml:space="preserve">B-1210601 </t>
  </si>
  <si>
    <t>B-1210602</t>
  </si>
  <si>
    <t xml:space="preserve">B-1210501 </t>
  </si>
  <si>
    <t>B-1210502</t>
  </si>
  <si>
    <t>B-1210503</t>
  </si>
  <si>
    <t>B-1210504</t>
  </si>
  <si>
    <t>Header Distribuição HP</t>
  </si>
  <si>
    <t>Header Distribuição HP1</t>
  </si>
  <si>
    <t>Header Distribuição HP2</t>
  </si>
  <si>
    <t>Header Distribuição LP1/2</t>
  </si>
  <si>
    <t>Header Distribuição LP1</t>
  </si>
  <si>
    <t>Header Distribuição LP2</t>
  </si>
  <si>
    <t>Header Distribuição LP3</t>
  </si>
  <si>
    <t>P-5135001A</t>
  </si>
  <si>
    <t>P-5135001B</t>
  </si>
  <si>
    <t>PSGE - Sist de Regeneração de MEG</t>
  </si>
  <si>
    <t>Condensador</t>
  </si>
  <si>
    <t>P-1227005*</t>
  </si>
  <si>
    <t>Gerar Vácuo na UTM</t>
  </si>
  <si>
    <t>B-UC-1227001A*</t>
  </si>
  <si>
    <t>B-UC-1227001B*</t>
  </si>
  <si>
    <t>Injeção de MEG nos poços</t>
  </si>
  <si>
    <t>B-1227002A*</t>
  </si>
  <si>
    <t>B-1227002B*</t>
  </si>
  <si>
    <t>Refervedor de MEG</t>
  </si>
  <si>
    <t>B-1227004A*</t>
  </si>
  <si>
    <t>B-1227004B*</t>
  </si>
  <si>
    <t>P-1227004A*</t>
  </si>
  <si>
    <t>P-1227004B*</t>
  </si>
  <si>
    <t>Refluxo de MEG</t>
  </si>
  <si>
    <t>B-1227005A*</t>
  </si>
  <si>
    <t>B-1227005B*</t>
  </si>
  <si>
    <t>Transferência de MEG</t>
  </si>
  <si>
    <t>B-1227006A*</t>
  </si>
  <si>
    <t>B-1227006B*</t>
  </si>
  <si>
    <t>Transferência de MEG para o vaso flash</t>
  </si>
  <si>
    <t>B-1227010A*</t>
  </si>
  <si>
    <t>B-1227010B*</t>
  </si>
  <si>
    <t>Transferência de MEG para separador de baixa</t>
  </si>
  <si>
    <t>B-1227011A*</t>
  </si>
  <si>
    <t>B-1227011B*</t>
  </si>
  <si>
    <t>Injeção de MEG no Gás de Importação</t>
  </si>
  <si>
    <t>B-1261701A</t>
  </si>
  <si>
    <t>B-1261701B</t>
  </si>
  <si>
    <t>Injeção de Sequestrante de H2S</t>
  </si>
  <si>
    <t>Bomba de abertura da DHSV</t>
  </si>
  <si>
    <t>B-1223003</t>
  </si>
  <si>
    <t>Separação de Fluidos</t>
  </si>
  <si>
    <t>SG-1223001A</t>
  </si>
  <si>
    <t>SG-1223001B</t>
  </si>
  <si>
    <t>Circulação de TEG pobre</t>
  </si>
  <si>
    <t>B-1227001A*</t>
  </si>
  <si>
    <t>B-1227001B*</t>
  </si>
  <si>
    <t>B-1227001C*</t>
  </si>
  <si>
    <t>Desidratação do gás TEG</t>
  </si>
  <si>
    <t>T-1233001A</t>
  </si>
  <si>
    <t>T-1233001B</t>
  </si>
  <si>
    <t>Regenerar TEG</t>
  </si>
  <si>
    <t>AQ-Z-1227001A</t>
  </si>
  <si>
    <t>AQ-Z-1227001B</t>
  </si>
  <si>
    <t>AQ-Z-1227001C</t>
  </si>
  <si>
    <t>Tratamento de Condensado</t>
  </si>
  <si>
    <t>T-1237001</t>
  </si>
  <si>
    <t>PSVA - Sist de Vent Atmosférico</t>
  </si>
  <si>
    <t>Aliviar Gás</t>
  </si>
  <si>
    <t>XV-5415251*</t>
  </si>
  <si>
    <t>XV-5415252*</t>
  </si>
  <si>
    <t>XV-5415253*</t>
  </si>
  <si>
    <t>XV-5415254*</t>
  </si>
  <si>
    <t>XV-5415256*</t>
  </si>
  <si>
    <t>NORTEC</t>
  </si>
  <si>
    <t>DataPrimeiroOleo</t>
  </si>
  <si>
    <t>N1710</t>
  </si>
  <si>
    <t>SHAREPOINT NORMAS</t>
  </si>
  <si>
    <t>P66</t>
  </si>
  <si>
    <t>P67</t>
  </si>
  <si>
    <t>P68</t>
  </si>
  <si>
    <t>P69</t>
  </si>
  <si>
    <t>P70</t>
  </si>
  <si>
    <t>PMXL</t>
  </si>
  <si>
    <t>3A1701</t>
  </si>
  <si>
    <t>PMLZ</t>
  </si>
  <si>
    <t>Classe de equipamento</t>
  </si>
  <si>
    <t>Mecanismo da Falha</t>
  </si>
  <si>
    <t>Subdivisão do mecanismo de falha</t>
  </si>
  <si>
    <t>Subdivisão da
causa da falha</t>
  </si>
  <si>
    <t>Atividade de manutenção</t>
  </si>
  <si>
    <t>Centro Log, Terra</t>
  </si>
  <si>
    <t>Centro Log, Bordo</t>
  </si>
  <si>
    <t>Depósito</t>
  </si>
  <si>
    <t>Cen. Planej.</t>
  </si>
  <si>
    <t>Loc.Inst.</t>
  </si>
  <si>
    <t>SINDOTEC</t>
  </si>
  <si>
    <t>Motor</t>
  </si>
  <si>
    <t>Rotativos</t>
  </si>
  <si>
    <t xml:space="preserve">Motores de combustão </t>
  </si>
  <si>
    <t>Falha Mecânica</t>
  </si>
  <si>
    <t>1.0-Falha Mecânica- Geral</t>
  </si>
  <si>
    <t>causas relacionadas ao projeto</t>
  </si>
  <si>
    <t>Capacidade inadequada</t>
  </si>
  <si>
    <t>Manutenção periódica</t>
  </si>
  <si>
    <t>Substituição</t>
  </si>
  <si>
    <t>4130-P68M</t>
  </si>
  <si>
    <t>68M0</t>
  </si>
  <si>
    <t>3010.94</t>
  </si>
  <si>
    <t>Bomba</t>
  </si>
  <si>
    <t>Mecânicos</t>
  </si>
  <si>
    <t xml:space="preserve">Compressores </t>
  </si>
  <si>
    <t>Falha de Material</t>
  </si>
  <si>
    <t>1.1-Falha Mecânica- Vazamento</t>
  </si>
  <si>
    <t>causas relacionadas à fabricação/instalação</t>
  </si>
  <si>
    <t>Causa comum</t>
  </si>
  <si>
    <t>Teste funcional</t>
  </si>
  <si>
    <t>Reparo</t>
  </si>
  <si>
    <t>4128-P70M</t>
  </si>
  <si>
    <t>70M0</t>
  </si>
  <si>
    <t>3010.96</t>
  </si>
  <si>
    <t>Trocador de Calor</t>
  </si>
  <si>
    <t>Elétricos</t>
  </si>
  <si>
    <t xml:space="preserve">Geradores elétricos </t>
  </si>
  <si>
    <t>Falha de Instrumento</t>
  </si>
  <si>
    <t>1.2-Falha Mecânica- Alinhamento/folga</t>
  </si>
  <si>
    <t>falhas relacionadas à operação/manutenção</t>
  </si>
  <si>
    <t>Causas combinadas</t>
  </si>
  <si>
    <t>Inspeção</t>
  </si>
  <si>
    <t>Modifi cação</t>
  </si>
  <si>
    <t>4143-P71M</t>
  </si>
  <si>
    <t>71M0</t>
  </si>
  <si>
    <t>3010.97</t>
  </si>
  <si>
    <t>Compressor</t>
  </si>
  <si>
    <t>Segurança e Controle</t>
  </si>
  <si>
    <t xml:space="preserve">Motores elétricos </t>
  </si>
  <si>
    <t>Falha Elétrica</t>
  </si>
  <si>
    <t>1.3-Falha Mecânica- Geral</t>
  </si>
  <si>
    <t>falhas relacionadas à gestão</t>
  </si>
  <si>
    <t>Desconhecida</t>
  </si>
  <si>
    <t>Monitoração periódica da condição</t>
  </si>
  <si>
    <t>Ajuste</t>
  </si>
  <si>
    <t>3531.01</t>
  </si>
  <si>
    <t>Caldeira</t>
  </si>
  <si>
    <t>Produção Submarina</t>
  </si>
  <si>
    <t xml:space="preserve">Turbinas a gás </t>
  </si>
  <si>
    <t>Influência Externa</t>
  </si>
  <si>
    <t>1.4-Falha Mecânica- Deformação</t>
  </si>
  <si>
    <t>miscelânea</t>
  </si>
  <si>
    <t>Desgaste e deterioração esperados</t>
  </si>
  <si>
    <t>Monitoração contínua de condição</t>
  </si>
  <si>
    <t>Conservação</t>
  </si>
  <si>
    <t>XLM0</t>
  </si>
  <si>
    <t>3A1710</t>
  </si>
  <si>
    <t>3926.01</t>
  </si>
  <si>
    <t>Turbina</t>
  </si>
  <si>
    <t>Perfuração</t>
  </si>
  <si>
    <t xml:space="preserve">Bombas </t>
  </si>
  <si>
    <t>Miscelâneas</t>
  </si>
  <si>
    <t>1.5-Falha Mecânica- Afrouxamento</t>
  </si>
  <si>
    <t>Erro de documentação</t>
  </si>
  <si>
    <t>Interferência na produção</t>
  </si>
  <si>
    <t>Verifi cação</t>
  </si>
  <si>
    <t>Forno</t>
  </si>
  <si>
    <t>Completação de poço</t>
  </si>
  <si>
    <t xml:space="preserve">Turbinas a vapor </t>
  </si>
  <si>
    <t>1.6-Falha Mecânica- Emperramento</t>
  </si>
  <si>
    <t>Erro de fabricação</t>
  </si>
  <si>
    <t>Observação casual</t>
  </si>
  <si>
    <t>Serviço</t>
  </si>
  <si>
    <t>Intervenção de poço</t>
  </si>
  <si>
    <t xml:space="preserve">Turboexpansores </t>
  </si>
  <si>
    <t>2.0 - Falha de material- Geral</t>
  </si>
  <si>
    <t>Erro de gestão</t>
  </si>
  <si>
    <t>Manutenção corretiva</t>
  </si>
  <si>
    <t>Teste</t>
  </si>
  <si>
    <t>Marítimo</t>
  </si>
  <si>
    <t xml:space="preserve">Sopradores e ventiladores </t>
  </si>
  <si>
    <t>2.1 - Falha de material - Cavitação</t>
  </si>
  <si>
    <t>Erro de instalação</t>
  </si>
  <si>
    <t>Sob demanda</t>
  </si>
  <si>
    <t>Utilidades</t>
  </si>
  <si>
    <t xml:space="preserve">Expansores de líquido </t>
  </si>
  <si>
    <t>2.2 - Falha de material - Corrosão</t>
  </si>
  <si>
    <t>Erro de manutenção</t>
  </si>
  <si>
    <t>Outros</t>
  </si>
  <si>
    <t>Revisão geral</t>
  </si>
  <si>
    <t xml:space="preserve">Misturadores </t>
  </si>
  <si>
    <t>2.3 - Falha de material - Erosão</t>
  </si>
  <si>
    <t>Erro de operação</t>
  </si>
  <si>
    <t>Combinação</t>
  </si>
  <si>
    <t xml:space="preserve">Guindastes </t>
  </si>
  <si>
    <t>2.4 - Falha de material - Desgaste</t>
  </si>
  <si>
    <t>Geral</t>
  </si>
  <si>
    <t>Outra</t>
  </si>
  <si>
    <t xml:space="preserve">Trocadores de calor </t>
  </si>
  <si>
    <t>2.5 - Falha de material - Quebra</t>
  </si>
  <si>
    <t>Material inadequado</t>
  </si>
  <si>
    <t xml:space="preserve">Fornos e caldeiras </t>
  </si>
  <si>
    <t>2.6 - Falha de material - Fadiga</t>
  </si>
  <si>
    <t>Miscelâneas –geral</t>
  </si>
  <si>
    <t xml:space="preserve">Vasos </t>
  </si>
  <si>
    <t>2.7 - Falha de material - Sobreaquecimento</t>
  </si>
  <si>
    <t>Nenhuma causa encontrada</t>
  </si>
  <si>
    <t xml:space="preserve">Tubulações </t>
  </si>
  <si>
    <t>2.8 - Falha de material - Rompimento</t>
  </si>
  <si>
    <t>Outras</t>
  </si>
  <si>
    <t xml:space="preserve">Guinchos </t>
  </si>
  <si>
    <t>3.0 - Falha no instrumento- Geral</t>
  </si>
  <si>
    <t>Serviço fora das condições de projeto</t>
  </si>
  <si>
    <t xml:space="preserve">Cabeças de injeção </t>
  </si>
  <si>
    <t>3.1 - Falha no instrumento - Falha de Controle</t>
  </si>
  <si>
    <t xml:space="preserve">Turrets </t>
  </si>
  <si>
    <t>3.2 - Falha no instrumento - Sem sinal/indicação/alarme</t>
  </si>
  <si>
    <t xml:space="preserve">Dutos </t>
  </si>
  <si>
    <t>3.3 - Falha no instrumento - Sinal/indicação/alarme falso</t>
  </si>
  <si>
    <t xml:space="preserve">Tanques de armazenamento </t>
  </si>
  <si>
    <t>3.4 - Falha no instrumento - Fora de ajuste</t>
  </si>
  <si>
    <t xml:space="preserve">Braços de carregamento </t>
  </si>
  <si>
    <t>3.5 - Falha no instrumento - Falha de software</t>
  </si>
  <si>
    <t xml:space="preserve">Filtros </t>
  </si>
  <si>
    <t>3.6 - Falha no instrumento - Falha de causa/modo comum</t>
  </si>
  <si>
    <t xml:space="preserve">Elétricos Sistema ininterrupto de energia (UPS) </t>
  </si>
  <si>
    <t>4.0 - Falha elétrica- Geral</t>
  </si>
  <si>
    <t xml:space="preserve">Transformadores de potência </t>
  </si>
  <si>
    <t>4.1 - Falha elétrica - Curto-circuito</t>
  </si>
  <si>
    <t xml:space="preserve">Painéis e quadros de distribuição </t>
  </si>
  <si>
    <t>4.2 - Falha elétrica - Circuito aberto</t>
  </si>
  <si>
    <t xml:space="preserve">Conversores de frequência </t>
  </si>
  <si>
    <t>4.3 - Falha elétrica - Sem energia/tensão</t>
  </si>
  <si>
    <t xml:space="preserve">Cabos de força e terminações </t>
  </si>
  <si>
    <t>4.4 - Falha elétrica - Energia/tensãoincorreta</t>
  </si>
  <si>
    <t xml:space="preserve">Detectores de incêndio e gás </t>
  </si>
  <si>
    <t>4.5 - Falha elétrica - Falha de aterramento/falha de isolação</t>
  </si>
  <si>
    <t xml:space="preserve">Dispositivos de entrada </t>
  </si>
  <si>
    <t>5.0 - Influência externa- Geral</t>
  </si>
  <si>
    <t xml:space="preserve">Unidades de controle </t>
  </si>
  <si>
    <t>5.1 - Influência externa - Bloqueio/entupimento</t>
  </si>
  <si>
    <t xml:space="preserve">Válvulas </t>
  </si>
  <si>
    <t>5.2 - Influência externa - Contaminação</t>
  </si>
  <si>
    <t xml:space="preserve">Bocais </t>
  </si>
  <si>
    <t>5.3 - Influência externa - Infl uências externas diversas</t>
  </si>
  <si>
    <t xml:space="preserve">Equipamento de evacuação </t>
  </si>
  <si>
    <t>6.0 - Misselâneas- Geral</t>
  </si>
  <si>
    <t xml:space="preserve">Equipamentos de combate a incêndio </t>
  </si>
  <si>
    <t>6.1 - Misselâneas - Nenhuma causa encontrada</t>
  </si>
  <si>
    <t>Equipamentos de gás inerte</t>
  </si>
  <si>
    <t>6.2 - Misselâneas - Causas combinadas</t>
  </si>
  <si>
    <t xml:space="preserve">Controle de produção submarina </t>
  </si>
  <si>
    <t>6.3 - Misselâneas - Outros</t>
  </si>
  <si>
    <t xml:space="preserve">Árvores de Natal </t>
  </si>
  <si>
    <t>6.4 - Misselâneas - Desconhecido</t>
  </si>
  <si>
    <t xml:space="preserve">Risers </t>
  </si>
  <si>
    <t xml:space="preserve">Bombas submarinas </t>
  </si>
  <si>
    <t xml:space="preserve">Equipamento de processamento submarino </t>
  </si>
  <si>
    <t xml:space="preserve">Templates </t>
  </si>
  <si>
    <t xml:space="preserve">Manifolds </t>
  </si>
  <si>
    <t xml:space="preserve">Linhas de fl uxo </t>
  </si>
  <si>
    <t xml:space="preserve">Equipamento de isolamento submarino </t>
  </si>
  <si>
    <t xml:space="preserve">Ferramentas de intervenção </t>
  </si>
  <si>
    <t>Distribuição de energia elétrica</t>
  </si>
  <si>
    <t xml:space="preserve">Preventor de blowout (BOP) a </t>
  </si>
  <si>
    <t xml:space="preserve">Top drive </t>
  </si>
  <si>
    <t xml:space="preserve">Torre de perfuração b </t>
  </si>
  <si>
    <t xml:space="preserve">Guincho de perfuração </t>
  </si>
  <si>
    <t xml:space="preserve">Bombas de lama </t>
  </si>
  <si>
    <t xml:space="preserve">Equipamento de tratamento de lama </t>
  </si>
  <si>
    <t xml:space="preserve">Diverter </t>
  </si>
  <si>
    <t xml:space="preserve">Choke manifold </t>
  </si>
  <si>
    <t xml:space="preserve">Compensador de movimento da coluna </t>
  </si>
  <si>
    <t xml:space="preserve">Compensador de riser </t>
  </si>
  <si>
    <t xml:space="preserve">Equipamento de cimentação </t>
  </si>
  <si>
    <t xml:space="preserve">Risers de perfuração e completação </t>
  </si>
  <si>
    <t>Blocos de coroamento e catarina</t>
  </si>
  <si>
    <t xml:space="preserve">Válvulas de segurança de poço </t>
  </si>
  <si>
    <t xml:space="preserve">Revestimento </t>
  </si>
  <si>
    <t xml:space="preserve">Coluna de produção (tubing) </t>
  </si>
  <si>
    <t xml:space="preserve">Suspensores </t>
  </si>
  <si>
    <t xml:space="preserve">Obturadores (packers) </t>
  </si>
  <si>
    <t xml:space="preserve">Bombas elétricas submersíveis </t>
  </si>
  <si>
    <t xml:space="preserve">Sensores de poço </t>
  </si>
  <si>
    <t>Cabeças de poço</t>
  </si>
  <si>
    <t xml:space="preserve">Tubo flexível, equipamento de superfície </t>
  </si>
  <si>
    <t xml:space="preserve">Tubo flexível, BOP e sistemas de controle </t>
  </si>
  <si>
    <t>Tubo flexível, outros equipamentos e sistemas de controle de pressão</t>
  </si>
  <si>
    <t xml:space="preserve">Tubo flexível, coluna e composição de fundo mecânica </t>
  </si>
  <si>
    <t xml:space="preserve">Tubo flexível, coluna e composição de fundo elétrica </t>
  </si>
  <si>
    <t xml:space="preserve">Equipamento de superfície para wireline </t>
  </si>
  <si>
    <t xml:space="preserve">BOP e sistemas de controle para wireline </t>
  </si>
  <si>
    <t>Outros equipamentos e sistemas de controle de pressão para wireline</t>
  </si>
  <si>
    <t>Cabo liso (slickline)/trançado e composição de fundo de poço (BHA) para wireline</t>
  </si>
  <si>
    <t>Cabo elétrico e composição de fundo de poço (BHA) para wireline</t>
  </si>
  <si>
    <t xml:space="preserve">Equipamento de superfície para snubbing </t>
  </si>
  <si>
    <t xml:space="preserve">BOP e sistemas de controle para snubbing </t>
  </si>
  <si>
    <t>Outros equipamentos e sistemas de controle de pressão para snubbing</t>
  </si>
  <si>
    <t>Coluna de produção (tubing) e composições de fundo de poço (BHA) para snubbing</t>
  </si>
  <si>
    <t xml:space="preserve">Guinchos de âncora e equipamentos de ancoragem Propulsores </t>
  </si>
  <si>
    <t xml:space="preserve">Equipamento de posicionamento dinâmico </t>
  </si>
  <si>
    <t xml:space="preserve">Equipamento de reboque </t>
  </si>
  <si>
    <t xml:space="preserve">Equipamento de elevação </t>
  </si>
  <si>
    <t xml:space="preserve">Equipamento de descongelamento </t>
  </si>
  <si>
    <t>Heliponto com equipamentos</t>
  </si>
  <si>
    <t xml:space="preserve">Unidades de potência hidráulica (HPU) </t>
  </si>
  <si>
    <t xml:space="preserve">Equipamento de suprimento de ar </t>
  </si>
  <si>
    <t xml:space="preserve">Dessuperaquecedores </t>
  </si>
  <si>
    <t xml:space="preserve">Equipamento de suprimento de nitrogênio </t>
  </si>
  <si>
    <t xml:space="preserve">Fluidos de aquecimento/resfriamento </t>
  </si>
  <si>
    <t>HVAC</t>
  </si>
  <si>
    <t>Área Atuação</t>
  </si>
  <si>
    <t>Gerência ou Gerência Setorial Responsável</t>
  </si>
  <si>
    <t>Classe do Equipamento</t>
  </si>
  <si>
    <t>Método de Análise</t>
  </si>
  <si>
    <t>Causa da Falha</t>
  </si>
  <si>
    <t>Método de Detecção</t>
  </si>
  <si>
    <t>UN-BS/ATP-IMI/OP-P68</t>
  </si>
  <si>
    <t xml:space="preserve">FAIN-Sist de Água Industrial    </t>
  </si>
  <si>
    <t>Engenharia</t>
  </si>
  <si>
    <t>UN-BC/ENGP/EFDEA</t>
  </si>
  <si>
    <t>Atuador de Válvula</t>
  </si>
  <si>
    <t>Árvore de Falhas (FTA)</t>
  </si>
  <si>
    <t>1.1  - Mecânica - Vazamento</t>
  </si>
  <si>
    <t>1.0 - Projeto - Geral</t>
  </si>
  <si>
    <t>1 - Manutenção Periódica</t>
  </si>
  <si>
    <t>UN-BS/ATP-IMI/OP-P70</t>
  </si>
  <si>
    <t xml:space="preserve">FAPO-Sist de Água Potável    </t>
  </si>
  <si>
    <t>Inspeção de Equipamentos</t>
  </si>
  <si>
    <t>UN-BC/ENGP/EPEE</t>
  </si>
  <si>
    <t>Diagrama Espinha de Peixe, Diagrama de Causa e Efeito ou Diagrama Ishikawa</t>
  </si>
  <si>
    <t>1.2  - Mecânica - Vibração</t>
  </si>
  <si>
    <t xml:space="preserve">1.1  - Projeto - Capacidade inadequada </t>
  </si>
  <si>
    <t>2 - Teste Funcional</t>
  </si>
  <si>
    <t>UN-BS/ATP-IMI/OP-P71</t>
  </si>
  <si>
    <t xml:space="preserve">FCOE-Sist de Estruturas, Convés e Casco  </t>
  </si>
  <si>
    <t>Manutenção</t>
  </si>
  <si>
    <t>UN-BC/ENGP/ENAVI</t>
  </si>
  <si>
    <t>Braço de Carregamento</t>
  </si>
  <si>
    <t>5 Porquês</t>
  </si>
  <si>
    <t>1.3  - Mecânica - Falha de alinhamento/ folga</t>
  </si>
  <si>
    <t>1.2  - Projeto - Material inadequado</t>
  </si>
  <si>
    <t>3 - Inspeção</t>
  </si>
  <si>
    <t>UN-BS/ATP-IMI/OP-PMXL</t>
  </si>
  <si>
    <t xml:space="preserve">FECC-Sist de Corrente Contínua ou UPS  </t>
  </si>
  <si>
    <t>Operação</t>
  </si>
  <si>
    <t>Cabo de força e terminações</t>
  </si>
  <si>
    <t>1.4  - Mecânica - Deformação</t>
  </si>
  <si>
    <t>2.0 - Fabricação / Instalação -Geral</t>
  </si>
  <si>
    <t>4 - Monitoração periódica da condição</t>
  </si>
  <si>
    <t xml:space="preserve">FECR-Sist de Retificação de Potência (SCR)  </t>
  </si>
  <si>
    <t>SMS</t>
  </si>
  <si>
    <t>Canhão Lançador de PIG</t>
  </si>
  <si>
    <t>1.5  - Mecânica - Afrouxamento</t>
  </si>
  <si>
    <t>2.1  - Fabricação / Instalação - Erro de Fabricação</t>
  </si>
  <si>
    <t>5 - Monitoração contínua da condição</t>
  </si>
  <si>
    <t xml:space="preserve">FEDE-Sist de Distribuição Essencial    </t>
  </si>
  <si>
    <t>1.6  - Mecânica - Emperramento</t>
  </si>
  <si>
    <t>2.2  - Fabricação / Instalação - Erro de Instalação</t>
  </si>
  <si>
    <t>6 - Interferência da produção</t>
  </si>
  <si>
    <t xml:space="preserve">FEDN-Sist de Distribuição Normal    </t>
  </si>
  <si>
    <t>Conversor de frequência</t>
  </si>
  <si>
    <t>2.1  - Material  - Cavitação</t>
  </si>
  <si>
    <t>3.0  - Operação / Manutenção - Geral</t>
  </si>
  <si>
    <t>7 - Observação casual</t>
  </si>
  <si>
    <t xml:space="preserve">FEEM-Sist de Distribuição de Emergência   </t>
  </si>
  <si>
    <t>Detector de incêndio e gás</t>
  </si>
  <si>
    <t>2.2  - Material  -Corrosão</t>
  </si>
  <si>
    <t xml:space="preserve">3.1  - Operação / Manutenção - Serviço fora das condições de projeto </t>
  </si>
  <si>
    <t>8 - Manutenção corretiva</t>
  </si>
  <si>
    <t xml:space="preserve">FEEP-Sist de Distribuição Principal    </t>
  </si>
  <si>
    <t>Filtro</t>
  </si>
  <si>
    <t>2.3  - Material  - Erosão</t>
  </si>
  <si>
    <t>3.2  - Operação / Manutenção - Erro de operação</t>
  </si>
  <si>
    <t>9 - Sob demanda</t>
  </si>
  <si>
    <t xml:space="preserve">FEIE-Sist de Iluminação de Emergência   </t>
  </si>
  <si>
    <t>Gerador Elétrico</t>
  </si>
  <si>
    <t>2.4  - Material  - Desgaste</t>
  </si>
  <si>
    <t>3.3  - Operação / Manutenção - Erro de manutenção</t>
  </si>
  <si>
    <t>10 - Outros</t>
  </si>
  <si>
    <t xml:space="preserve">FEIN-Sist de Iluminação Normal    </t>
  </si>
  <si>
    <t>Guindaste</t>
  </si>
  <si>
    <t>2.5  - Material  - Quebra</t>
  </si>
  <si>
    <t>3.4  - Operação / Manutenção - Desgaste e deterioração esperados</t>
  </si>
  <si>
    <t xml:space="preserve">FEIS-Sist de Iluminação Essencial    </t>
  </si>
  <si>
    <t>Instrumento ou Chave de controle</t>
  </si>
  <si>
    <t>2.6  - Material  - Fadiga</t>
  </si>
  <si>
    <t>4.0  - Gestão - Geral</t>
  </si>
  <si>
    <t xml:space="preserve">FEPC-Sist de Proteção Catódica    </t>
  </si>
  <si>
    <t>Misturador</t>
  </si>
  <si>
    <t>2.7  - Material  - Sobreaquecimento</t>
  </si>
  <si>
    <t xml:space="preserve">4.1  - Gestão - Erro de documentação </t>
  </si>
  <si>
    <t xml:space="preserve">FQAV-Sist de Abastecimento de Aeronaves (QAV)  </t>
  </si>
  <si>
    <t>Motor de Combustão Interna</t>
  </si>
  <si>
    <t>2.8 - Material  - Rompimento (burst)</t>
  </si>
  <si>
    <t>4.2  - Gestão - Erro de gestão</t>
  </si>
  <si>
    <t>FSAC-Sist de Ar Comprim de Serv e Instrum</t>
  </si>
  <si>
    <t>Motor Elétrico</t>
  </si>
  <si>
    <t>3.1 - Instrumentação - Falha de controle</t>
  </si>
  <si>
    <t>5.0 - Miscelâneas - Geral</t>
  </si>
  <si>
    <t xml:space="preserve">FSAL-Sist de Acomodações, Oficinas e Outros  </t>
  </si>
  <si>
    <t>Motor Hidráulico</t>
  </si>
  <si>
    <t>3.2 - Instrumentação - Sem sinal/indicação/alarme</t>
  </si>
  <si>
    <t>5.1 - Miscelâneas - Nenhuma causa encontrada</t>
  </si>
  <si>
    <t xml:space="preserve">FSAN-Sist de Ancoragem     </t>
  </si>
  <si>
    <t>Painel / quadro de distribuição</t>
  </si>
  <si>
    <t>3.3 - Instrumentação - Sem sinal/indicação/alarme falso</t>
  </si>
  <si>
    <t>5.2 - Miscelâneas - Causa comum</t>
  </si>
  <si>
    <t xml:space="preserve">FSAP-Sist de Ar de Partida   </t>
  </si>
  <si>
    <t>PLC - Controlador Lógico Programável</t>
  </si>
  <si>
    <t>3.4 - Instrumentação - Fora de ajuste</t>
  </si>
  <si>
    <t>5.3 - Miscelâneas - Causas combinadas</t>
  </si>
  <si>
    <t xml:space="preserve">FSAQ-Sist de Água Quente de Processo  </t>
  </si>
  <si>
    <t>RTU - Unid. De Transmissão Remota</t>
  </si>
  <si>
    <t>3.5 - Instrumentação - Falha de software</t>
  </si>
  <si>
    <t xml:space="preserve">FSAR-Sist de Condicionamento de Ar   </t>
  </si>
  <si>
    <t>Soprador / ventilador</t>
  </si>
  <si>
    <t>3.6 - Instrumentação - Falha de causa/modo comum</t>
  </si>
  <si>
    <t xml:space="preserve">FSCA-Sist de Captação de Água Salgada  </t>
  </si>
  <si>
    <t>Tanque de armazenamento</t>
  </si>
  <si>
    <t>4.1 - Elétrica - Curto-circuito</t>
  </si>
  <si>
    <t xml:space="preserve">FSCI-Sist de Combate a Incêndio   </t>
  </si>
  <si>
    <t>Transformador</t>
  </si>
  <si>
    <t>4.2 - Elétrica - Circuito aberto</t>
  </si>
  <si>
    <t xml:space="preserve">FSFG-Sist de Detecção de Fogo e Gás </t>
  </si>
  <si>
    <t>4.3 - Elétrica - Sem energia/ tensão</t>
  </si>
  <si>
    <t xml:space="preserve">FSGE-Sist de Geração de Emergência   </t>
  </si>
  <si>
    <t>Tubulação</t>
  </si>
  <si>
    <t xml:space="preserve">4.4 - Elétrica - Energia/tensão incorreta </t>
  </si>
  <si>
    <t xml:space="preserve">FSGA-Sist de Geração Auxiliar    </t>
  </si>
  <si>
    <t>Turbina a Gas</t>
  </si>
  <si>
    <t xml:space="preserve">4.5 - Elétrica - Falha de aterramento/falha de isolação </t>
  </si>
  <si>
    <t xml:space="preserve">FSGP-Sist de Geração Principal    </t>
  </si>
  <si>
    <t>Turbina a Vapor</t>
  </si>
  <si>
    <t>5.1 - Influência Externa - Bloqueio/ entupimento</t>
  </si>
  <si>
    <t xml:space="preserve">FSGV-Sist de Geração de Vapor   </t>
  </si>
  <si>
    <t>Turboexpansor</t>
  </si>
  <si>
    <t>5.2 - Influência Externa - Contaminação</t>
  </si>
  <si>
    <t xml:space="preserve">FSHI-Sist Hidráulico Centralizado     </t>
  </si>
  <si>
    <t>UPS - Sist. Ininterrupto de Energia</t>
  </si>
  <si>
    <t>5.3 - Influência Externa - Influências externas diversas</t>
  </si>
  <si>
    <t xml:space="preserve">FSIS-Sist de Inspeção Submarina    </t>
  </si>
  <si>
    <t>Válvula</t>
  </si>
  <si>
    <t xml:space="preserve">FSLE-Sist de Lastreamento     </t>
  </si>
  <si>
    <t>Vaso de Pressão</t>
  </si>
  <si>
    <t xml:space="preserve">FSES-Sist de Esgotamento     </t>
  </si>
  <si>
    <t xml:space="preserve">FSMC-Sist de Movimentação de Cargas   </t>
  </si>
  <si>
    <t xml:space="preserve">FSOD-Sist de Óleo Diesel    </t>
  </si>
  <si>
    <t xml:space="preserve">FSRA-Sist de Água de Resfriamento   </t>
  </si>
  <si>
    <t xml:space="preserve">FSRF-Sist de Câmara Frigorífica    </t>
  </si>
  <si>
    <t xml:space="preserve">FSSV-Sist de Salvatagem     </t>
  </si>
  <si>
    <t xml:space="preserve">FSTD-Sist de Tratamento Dejetos Sanitários   </t>
  </si>
  <si>
    <t xml:space="preserve">FSTI-Sist de Telecomunicação e Informática   </t>
  </si>
  <si>
    <t xml:space="preserve">FSVE-Sist de Ventilação e Exaustão   </t>
  </si>
  <si>
    <t xml:space="preserve">PSAI-Sist de Injeção de Água   </t>
  </si>
  <si>
    <t xml:space="preserve">PSCC-Sist de Compressão de CO2   </t>
  </si>
  <si>
    <t xml:space="preserve">PSCG-Sist de Compressão/Recompressão de Gás   </t>
  </si>
  <si>
    <t xml:space="preserve">PSCO-Sist de Coleta de Superfície   </t>
  </si>
  <si>
    <t xml:space="preserve">PSSE-Sist de Separação de Fluídos   </t>
  </si>
  <si>
    <t xml:space="preserve">PSCP-Sist Controle Poços - Un. Hidráulica  </t>
  </si>
  <si>
    <t xml:space="preserve">PSEG-Sist de Escoamento de Gás   </t>
  </si>
  <si>
    <t xml:space="preserve">PSEP-Sist de Escoamento de Óleo   </t>
  </si>
  <si>
    <t xml:space="preserve">PSFL-Sist de Flare     </t>
  </si>
  <si>
    <t xml:space="preserve">PSGC-Sist de Gás Combustível    </t>
  </si>
  <si>
    <t xml:space="preserve">PSGI-Sist de Gás Inerte    </t>
  </si>
  <si>
    <t xml:space="preserve">PSGL-Sist de Distribuição de Gás Lift  </t>
  </si>
  <si>
    <t xml:space="preserve">PSIG-Sist de Distribuição Gás para Injeção  </t>
  </si>
  <si>
    <t xml:space="preserve">PSIQ-Sist de Injeção Química    </t>
  </si>
  <si>
    <t xml:space="preserve">PSOF-Sist de Offloading     </t>
  </si>
  <si>
    <t xml:space="preserve">PSSC-Sist de Automação Industrial    </t>
  </si>
  <si>
    <t xml:space="preserve">PSTA-Sist de Tratamento de Água Produzida  </t>
  </si>
  <si>
    <t xml:space="preserve">PSTG-Sist de Tratamento de Gás   </t>
  </si>
  <si>
    <t xml:space="preserve">PSTP-Sist de Tratamento de Petróleo   </t>
  </si>
  <si>
    <t xml:space="preserve">PSMF-Sist de Medição de Fluidos   </t>
  </si>
  <si>
    <t xml:space="preserve">PSTR-Sist do Turret     </t>
  </si>
  <si>
    <t xml:space="preserve">PSVA-Sist de Vent Atmosférico    </t>
  </si>
  <si>
    <t xml:space="preserve">PDFC-Sist Drenag Fech Área Classif Recup Cond </t>
  </si>
  <si>
    <t xml:space="preserve">PDAC-Sist Drenagem Aberta Área Classificada   </t>
  </si>
  <si>
    <t xml:space="preserve">PSEL-Sist de Elevação     </t>
  </si>
  <si>
    <t xml:space="preserve">PURV-Unidade Recuperadora de Vapor    </t>
  </si>
  <si>
    <t xml:space="preserve">SCPP-Sist de Ferramentas e Coluna Perfuração  </t>
  </si>
  <si>
    <t xml:space="preserve">SDMT-Sist de Dados Meteorológicos    </t>
  </si>
  <si>
    <t xml:space="preserve">SGRA-Sist de Granéis     </t>
  </si>
  <si>
    <t xml:space="preserve">SPDN-Sist de Posicionamento     </t>
  </si>
  <si>
    <t xml:space="preserve">SSEG-Segurança-Proteção Coletiva e Individual    </t>
  </si>
  <si>
    <t xml:space="preserve">SSER-Sist de Elevação e Rotação   </t>
  </si>
  <si>
    <t xml:space="preserve">SSLA-Sist de Lama     </t>
  </si>
  <si>
    <t xml:space="preserve">SSMT-Sist de Manuseio de Tubos   </t>
  </si>
  <si>
    <t xml:space="preserve">SSSP-Sist de Segurança de Poço   </t>
  </si>
  <si>
    <t xml:space="preserve">SSTC-Sist de Tensionam. e Compens. Movimento  </t>
  </si>
  <si>
    <t xml:space="preserve">PSPU-Sist de Pull in / Pull out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</si>
</sst>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14"/>
      <color indexed="81"/>
      <name val="Segoe UI"/>
      <family val="2"/>
    </font>
    <font>
      <b/>
      <sz val="16"/>
      <color indexed="81"/>
      <name val="Segoe UI"/>
      <family val="2"/>
    </font>
    <font>
      <sz val="16"/>
      <color indexed="81"/>
      <name val="Segoe UI"/>
      <family val="2"/>
    </font>
    <font>
      <b/>
      <sz val="11"/>
      <color theme="1"/>
      <name val="Arial"/>
      <family val="2"/>
    </font>
    <font>
      <b/>
      <sz val="11"/>
      <color rgb="FF0070C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0">
    <xf numFmtId="0" fontId="0" fillId="0" borderId="0" xfId="0"/>
    <xf numFmtId="0" fontId="0" fillId="0" borderId="1" xfId="0" applyBorder="1"/>
    <xf numFmtId="0" fontId="1" fillId="0" borderId="0" xfId="1"/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right"/>
    </xf>
    <xf numFmtId="0" fontId="0" fillId="2" borderId="1" xfId="0" applyFill="1" applyBorder="1"/>
    <xf numFmtId="0" fontId="0" fillId="2" borderId="1" xfId="0" applyFill="1" applyBorder="1" applyAlignment="1">
      <alignment horizontal="right"/>
    </xf>
    <xf numFmtId="0" fontId="3" fillId="0" borderId="1" xfId="0" applyFont="1" applyBorder="1"/>
    <xf numFmtId="0" fontId="0" fillId="2" borderId="2" xfId="0" applyFill="1" applyBorder="1"/>
    <xf numFmtId="0" fontId="0" fillId="0" borderId="2" xfId="0" applyBorder="1"/>
    <xf numFmtId="0" fontId="0" fillId="2" borderId="3" xfId="0" applyFill="1" applyBorder="1"/>
    <xf numFmtId="0" fontId="0" fillId="0" borderId="3" xfId="0" applyBorder="1"/>
    <xf numFmtId="0" fontId="3" fillId="0" borderId="6" xfId="0" applyFont="1" applyBorder="1"/>
    <xf numFmtId="0" fontId="3" fillId="0" borderId="4" xfId="0" applyFont="1" applyBorder="1"/>
    <xf numFmtId="0" fontId="3" fillId="0" borderId="5" xfId="0" applyFont="1" applyBorder="1"/>
    <xf numFmtId="16" fontId="0" fillId="0" borderId="1" xfId="0" applyNumberFormat="1" applyBorder="1"/>
    <xf numFmtId="0" fontId="3" fillId="2" borderId="1" xfId="0" applyFont="1" applyFill="1" applyBorder="1" applyAlignment="1">
      <alignment horizontal="center"/>
    </xf>
    <xf numFmtId="0" fontId="0" fillId="0" borderId="1" xfId="0" applyBorder="1" applyAlignment="1">
      <alignment wrapText="1"/>
    </xf>
    <xf numFmtId="0" fontId="0" fillId="0" borderId="0" xfId="0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3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22" fontId="0" fillId="0" borderId="1" xfId="0" applyNumberFormat="1" applyBorder="1"/>
    <xf numFmtId="17" fontId="0" fillId="0" borderId="1" xfId="0" applyNumberFormat="1" applyBorder="1" applyAlignment="1">
      <alignment horizontal="left"/>
    </xf>
    <xf numFmtId="0" fontId="5" fillId="0" borderId="1" xfId="0" applyFont="1" applyBorder="1"/>
    <xf numFmtId="0" fontId="0" fillId="0" borderId="0" xfId="0" applyAlignment="1">
      <alignment wrapText="1"/>
    </xf>
    <xf numFmtId="0" fontId="3" fillId="0" borderId="1" xfId="0" applyFont="1" applyBorder="1" applyAlignment="1">
      <alignment horizontal="center" wrapText="1"/>
    </xf>
    <xf numFmtId="0" fontId="4" fillId="0" borderId="1" xfId="0" applyFont="1" applyBorder="1" applyAlignment="1">
      <alignment vertical="center" wrapText="1"/>
    </xf>
    <xf numFmtId="0" fontId="3" fillId="0" borderId="1" xfId="0" applyFont="1" applyBorder="1" applyAlignment="1">
      <alignment vertical="center" wrapText="1"/>
    </xf>
    <xf numFmtId="0" fontId="3" fillId="0" borderId="1" xfId="0" applyFont="1" applyBorder="1" applyAlignment="1">
      <alignment horizontal="center" vertical="center" wrapText="1"/>
    </xf>
    <xf numFmtId="14" fontId="3" fillId="0" borderId="1" xfId="0" applyNumberFormat="1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4" fillId="0" borderId="1" xfId="0" applyFont="1" applyBorder="1" applyAlignment="1">
      <alignment horizontal="right" vertical="center"/>
    </xf>
    <xf numFmtId="14" fontId="0" fillId="0" borderId="0" xfId="0" applyNumberFormat="1"/>
    <xf numFmtId="0" fontId="4" fillId="0" borderId="1" xfId="0" applyFont="1" applyBorder="1" applyAlignment="1">
      <alignment vertical="center"/>
    </xf>
    <xf numFmtId="0" fontId="0" fillId="0" borderId="1" xfId="0" applyBorder="1" applyAlignment="1">
      <alignment horizontal="left" vertical="center" wrapText="1"/>
    </xf>
    <xf numFmtId="164" fontId="0" fillId="0" borderId="1" xfId="0" applyNumberFormat="1" applyBorder="1" applyAlignment="1">
      <alignment horizontal="left"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center"/>
    </xf>
    <xf numFmtId="0" fontId="8" fillId="0" borderId="1" xfId="0" applyFont="1" applyBorder="1" applyAlignment="1" applyProtection="1">
      <alignment vertical="center" wrapText="1"/>
      <protection locked="0"/>
    </xf>
    <xf numFmtId="0" fontId="8" fillId="0" borderId="1" xfId="0" applyFont="1" applyBorder="1" applyAlignment="1" applyProtection="1">
      <alignment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vertical="center"/>
      <protection locked="0"/>
    </xf>
    <xf numFmtId="0" fontId="6" fillId="0" borderId="1" xfId="0" applyFont="1" applyBorder="1" applyAlignment="1" applyProtection="1">
      <alignment wrapText="1"/>
      <protection locked="0"/>
    </xf>
    <xf numFmtId="0" fontId="6" fillId="0" borderId="1" xfId="0" applyFont="1" applyBorder="1" applyAlignment="1" applyProtection="1">
      <alignment vertical="center"/>
      <protection locked="0"/>
    </xf>
    <xf numFmtId="0" fontId="6" fillId="0" borderId="1" xfId="0" applyFont="1" applyBorder="1" applyAlignment="1" applyProtection="1">
      <alignment horizontal="center"/>
      <protection locked="0"/>
    </xf>
    <xf numFmtId="14" fontId="6" fillId="0" borderId="1" xfId="0" applyNumberFormat="1" applyFont="1" applyBorder="1" applyProtection="1">
      <protection locked="0"/>
    </xf>
    <xf numFmtId="0" fontId="0" fillId="0" borderId="1" xfId="0" applyBorder="1" applyProtection="1">
      <protection locked="0"/>
    </xf>
    <xf numFmtId="0" fontId="7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0" fontId="3" fillId="0" borderId="0" xfId="0" applyFont="1"/>
    <xf numFmtId="0" fontId="13" fillId="0" borderId="1" xfId="0" applyFont="1" applyBorder="1" applyAlignment="1">
      <alignment horizontal="center" vertical="center" wrapText="1"/>
    </xf>
    <xf numFmtId="0" fontId="0" fillId="0" borderId="6" xfId="0" applyBorder="1"/>
    <xf numFmtId="0" fontId="0" fillId="0" borderId="2" xfId="0" applyBorder="1" applyAlignment="1">
      <alignment wrapText="1"/>
    </xf>
    <xf numFmtId="0" fontId="0" fillId="2" borderId="2" xfId="0" applyFill="1" applyBorder="1" applyAlignment="1">
      <alignment wrapText="1"/>
    </xf>
    <xf numFmtId="0" fontId="14" fillId="0" borderId="1" xfId="0" applyFont="1" applyBorder="1" applyAlignment="1">
      <alignment vertical="center"/>
    </xf>
    <xf numFmtId="0" fontId="14" fillId="0" borderId="0" xfId="0" applyFont="1" applyAlignment="1">
      <alignment vertical="center"/>
    </xf>
    <xf numFmtId="0" fontId="14" fillId="0" borderId="1" xfId="0" applyFont="1" applyBorder="1" applyAlignment="1">
      <alignment horizontal="right" vertical="center"/>
    </xf>
    <xf numFmtId="0" fontId="15" fillId="0" borderId="1" xfId="0" applyFont="1" applyBorder="1" applyAlignment="1">
      <alignment vertical="center" wrapText="1"/>
    </xf>
    <xf numFmtId="0" fontId="3" fillId="4" borderId="1" xfId="0" applyFont="1" applyFill="1" applyBorder="1" applyAlignment="1">
      <alignment horizontal="center"/>
    </xf>
    <xf numFmtId="0" fontId="0" fillId="0" borderId="1" xfId="0" applyBorder="1" applyAlignment="1" applyProtection="1">
      <alignment vertical="center" wrapText="1"/>
      <protection locked="0"/>
    </xf>
    <xf numFmtId="0" fontId="3" fillId="0" borderId="8" xfId="0" applyFont="1" applyBorder="1" applyAlignment="1">
      <alignment horizontal="left" vertical="center" wrapText="1"/>
    </xf>
    <xf numFmtId="0" fontId="0" fillId="0" borderId="0" xfId="0" quotePrefix="1"/>
    <xf numFmtId="0" fontId="16" fillId="0" borderId="1" xfId="0" applyFont="1" applyBorder="1" applyAlignment="1">
      <alignment horizontal="right" vertical="center"/>
    </xf>
    <xf numFmtId="0" fontId="17" fillId="0" borderId="1" xfId="0" applyFont="1" applyBorder="1" applyAlignment="1">
      <alignment vertical="center" wrapText="1"/>
    </xf>
    <xf numFmtId="0" fontId="16" fillId="0" borderId="1" xfId="0" applyFont="1" applyBorder="1" applyAlignment="1">
      <alignment horizontal="left" vertical="center" wrapText="1"/>
    </xf>
    <xf numFmtId="0" fontId="16" fillId="0" borderId="1" xfId="0" applyFont="1" applyBorder="1" applyAlignment="1">
      <alignment horizontal="left"/>
    </xf>
    <xf numFmtId="0" fontId="16" fillId="0" borderId="0" xfId="0" applyFont="1" applyAlignment="1">
      <alignment wrapText="1"/>
    </xf>
    <xf numFmtId="0" fontId="16" fillId="0" borderId="1" xfId="0" applyFont="1" applyBorder="1" applyAlignment="1">
      <alignment vertical="center" wrapText="1"/>
    </xf>
    <xf numFmtId="0" fontId="18" fillId="0" borderId="0" xfId="0" applyFont="1" applyAlignment="1">
      <alignment vertical="center" wrapText="1"/>
    </xf>
    <xf numFmtId="0" fontId="0" fillId="0" borderId="1" xfId="0" applyBorder="1" applyAlignment="1">
      <alignment horizontal="right" vertical="center" wrapText="1"/>
    </xf>
    <xf numFmtId="0" fontId="3" fillId="0" borderId="0" xfId="0" applyFont="1" applyAlignment="1">
      <alignment horizontal="left" vertical="center" wrapText="1"/>
    </xf>
    <xf numFmtId="0" fontId="19" fillId="0" borderId="0" xfId="0" applyFont="1"/>
    <xf numFmtId="0" fontId="0" fillId="0" borderId="1" xfId="0" applyBorder="1" applyAlignment="1">
      <alignment horizontal="center"/>
    </xf>
    <xf numFmtId="0" fontId="3" fillId="0" borderId="8" xfId="0" applyFont="1" applyBorder="1" applyAlignment="1">
      <alignment horizontal="left" vertical="center" wrapText="1"/>
    </xf>
    <xf numFmtId="0" fontId="3" fillId="4" borderId="2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Anexos!A1"/><Relationship Id="rId3" Type="http://schemas.openxmlformats.org/officeDocument/2006/relationships/hyperlink" Target="#'Levantamento de dados'!A1"/><Relationship Id="rId7" Type="http://schemas.openxmlformats.org/officeDocument/2006/relationships/hyperlink" Target="#'Plano de A&#231;&#227;o'!A1"/><Relationship Id="rId2" Type="http://schemas.openxmlformats.org/officeDocument/2006/relationships/hyperlink" Target="#Kickoff!A1"/><Relationship Id="rId1" Type="http://schemas.openxmlformats.org/officeDocument/2006/relationships/hyperlink" Target="#'Dados do Equipamento'!A1"/><Relationship Id="rId6" Type="http://schemas.openxmlformats.org/officeDocument/2006/relationships/hyperlink" Target="#Conclus&#227;o!A1"/><Relationship Id="rId5" Type="http://schemas.openxmlformats.org/officeDocument/2006/relationships/hyperlink" Target="#'Dados da Falha'!A1"/><Relationship Id="rId4" Type="http://schemas.openxmlformats.org/officeDocument/2006/relationships/hyperlink" Target="#'Linha do Tempo'!A1"/><Relationship Id="rId9" Type="http://schemas.openxmlformats.org/officeDocument/2006/relationships/hyperlink" Target="#'Lista de Verifica&#231;&#227;o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342900</xdr:colOff>
      <xdr:row>1</xdr:row>
      <xdr:rowOff>85725</xdr:rowOff>
    </xdr:from>
    <xdr:to>
      <xdr:col>5</xdr:col>
      <xdr:colOff>447675</xdr:colOff>
      <xdr:row>4</xdr:row>
      <xdr:rowOff>152400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9E4DA8A-73A1-541A-CD45-7D97498AD347}"/>
            </a:ext>
          </a:extLst>
        </xdr:cNvPr>
        <xdr:cNvSpPr/>
      </xdr:nvSpPr>
      <xdr:spPr>
        <a:xfrm>
          <a:off x="1562100" y="276225"/>
          <a:ext cx="1933575" cy="6381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DADOS EQUIPAMENTO</a:t>
          </a:r>
        </a:p>
      </xdr:txBody>
    </xdr:sp>
    <xdr:clientData/>
  </xdr:twoCellAnchor>
  <xdr:twoCellAnchor>
    <xdr:from>
      <xdr:col>2</xdr:col>
      <xdr:colOff>342900</xdr:colOff>
      <xdr:row>6</xdr:row>
      <xdr:rowOff>47625</xdr:rowOff>
    </xdr:from>
    <xdr:to>
      <xdr:col>5</xdr:col>
      <xdr:colOff>447675</xdr:colOff>
      <xdr:row>9</xdr:row>
      <xdr:rowOff>114300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901305D-099C-D6CA-00CD-6CB4C689F720}"/>
            </a:ext>
          </a:extLst>
        </xdr:cNvPr>
        <xdr:cNvSpPr/>
      </xdr:nvSpPr>
      <xdr:spPr>
        <a:xfrm>
          <a:off x="1562100" y="1190625"/>
          <a:ext cx="1933575" cy="6381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REUNIÃO</a:t>
          </a:r>
          <a:r>
            <a:rPr lang="pt-BR" sz="1400" baseline="0"/>
            <a:t> DE KIRCHOFF</a:t>
          </a:r>
          <a:endParaRPr lang="pt-BR" sz="1400"/>
        </a:p>
      </xdr:txBody>
    </xdr:sp>
    <xdr:clientData/>
  </xdr:twoCellAnchor>
  <xdr:twoCellAnchor>
    <xdr:from>
      <xdr:col>2</xdr:col>
      <xdr:colOff>342900</xdr:colOff>
      <xdr:row>10</xdr:row>
      <xdr:rowOff>180975</xdr:rowOff>
    </xdr:from>
    <xdr:to>
      <xdr:col>5</xdr:col>
      <xdr:colOff>447675</xdr:colOff>
      <xdr:row>14</xdr:row>
      <xdr:rowOff>57150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B2EB9B8-87D5-FE43-EA52-34EC5F1FCBEC}"/>
            </a:ext>
          </a:extLst>
        </xdr:cNvPr>
        <xdr:cNvSpPr/>
      </xdr:nvSpPr>
      <xdr:spPr>
        <a:xfrm>
          <a:off x="1562100" y="2085975"/>
          <a:ext cx="1933575" cy="6381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LEVANTAMENTO</a:t>
          </a:r>
          <a:r>
            <a:rPr lang="pt-BR" sz="1400" baseline="0"/>
            <a:t> DE DADOS</a:t>
          </a:r>
          <a:endParaRPr lang="pt-BR" sz="1400"/>
        </a:p>
      </xdr:txBody>
    </xdr:sp>
    <xdr:clientData/>
  </xdr:twoCellAnchor>
  <xdr:twoCellAnchor>
    <xdr:from>
      <xdr:col>6</xdr:col>
      <xdr:colOff>209550</xdr:colOff>
      <xdr:row>1</xdr:row>
      <xdr:rowOff>85725</xdr:rowOff>
    </xdr:from>
    <xdr:to>
      <xdr:col>9</xdr:col>
      <xdr:colOff>314325</xdr:colOff>
      <xdr:row>4</xdr:row>
      <xdr:rowOff>152400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6CBFB86-3776-9076-D854-0F4A4D838161}"/>
            </a:ext>
          </a:extLst>
        </xdr:cNvPr>
        <xdr:cNvSpPr/>
      </xdr:nvSpPr>
      <xdr:spPr>
        <a:xfrm>
          <a:off x="3867150" y="276225"/>
          <a:ext cx="1933575" cy="6381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LINHA DO TEMPO</a:t>
          </a:r>
        </a:p>
      </xdr:txBody>
    </xdr:sp>
    <xdr:clientData/>
  </xdr:twoCellAnchor>
  <xdr:twoCellAnchor>
    <xdr:from>
      <xdr:col>6</xdr:col>
      <xdr:colOff>209550</xdr:colOff>
      <xdr:row>6</xdr:row>
      <xdr:rowOff>38100</xdr:rowOff>
    </xdr:from>
    <xdr:to>
      <xdr:col>9</xdr:col>
      <xdr:colOff>314325</xdr:colOff>
      <xdr:row>9</xdr:row>
      <xdr:rowOff>104775</xdr:rowOff>
    </xdr:to>
    <xdr:sp macro="" textlink="">
      <xdr:nvSpPr>
        <xdr:cNvPr id="7" name="Retângulo: Cantos Arredondado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03D3BAC-5BAD-D132-6CED-22221817C792}"/>
            </a:ext>
          </a:extLst>
        </xdr:cNvPr>
        <xdr:cNvSpPr/>
      </xdr:nvSpPr>
      <xdr:spPr>
        <a:xfrm>
          <a:off x="3867150" y="1181100"/>
          <a:ext cx="1933575" cy="6381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DADOS DA FALHA</a:t>
          </a:r>
        </a:p>
      </xdr:txBody>
    </xdr:sp>
    <xdr:clientData/>
  </xdr:twoCellAnchor>
  <xdr:twoCellAnchor>
    <xdr:from>
      <xdr:col>6</xdr:col>
      <xdr:colOff>209550</xdr:colOff>
      <xdr:row>10</xdr:row>
      <xdr:rowOff>180975</xdr:rowOff>
    </xdr:from>
    <xdr:to>
      <xdr:col>9</xdr:col>
      <xdr:colOff>314325</xdr:colOff>
      <xdr:row>14</xdr:row>
      <xdr:rowOff>57150</xdr:rowOff>
    </xdr:to>
    <xdr:sp macro="" textlink="">
      <xdr:nvSpPr>
        <xdr:cNvPr id="8" name="Retângulo: Cantos Arredondados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3584FDD-FC65-1D59-C935-DB2FC3FE5E8B}"/>
            </a:ext>
          </a:extLst>
        </xdr:cNvPr>
        <xdr:cNvSpPr/>
      </xdr:nvSpPr>
      <xdr:spPr>
        <a:xfrm>
          <a:off x="3867150" y="2085975"/>
          <a:ext cx="1933575" cy="6381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CONCLUSÃO</a:t>
          </a:r>
        </a:p>
      </xdr:txBody>
    </xdr:sp>
    <xdr:clientData/>
  </xdr:twoCellAnchor>
  <xdr:twoCellAnchor>
    <xdr:from>
      <xdr:col>10</xdr:col>
      <xdr:colOff>85725</xdr:colOff>
      <xdr:row>1</xdr:row>
      <xdr:rowOff>85725</xdr:rowOff>
    </xdr:from>
    <xdr:to>
      <xdr:col>13</xdr:col>
      <xdr:colOff>190500</xdr:colOff>
      <xdr:row>4</xdr:row>
      <xdr:rowOff>152400</xdr:rowOff>
    </xdr:to>
    <xdr:sp macro="" textlink="">
      <xdr:nvSpPr>
        <xdr:cNvPr id="9" name="Retângulo: Cantos Arredondado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5A7167C-0AFE-0AA8-39D1-39E1ABEAA172}"/>
            </a:ext>
          </a:extLst>
        </xdr:cNvPr>
        <xdr:cNvSpPr/>
      </xdr:nvSpPr>
      <xdr:spPr>
        <a:xfrm>
          <a:off x="6181725" y="276225"/>
          <a:ext cx="1933575" cy="6381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PLANO DE AÇÃO</a:t>
          </a:r>
        </a:p>
      </xdr:txBody>
    </xdr:sp>
    <xdr:clientData/>
  </xdr:twoCellAnchor>
  <xdr:twoCellAnchor>
    <xdr:from>
      <xdr:col>10</xdr:col>
      <xdr:colOff>85725</xdr:colOff>
      <xdr:row>6</xdr:row>
      <xdr:rowOff>47625</xdr:rowOff>
    </xdr:from>
    <xdr:to>
      <xdr:col>13</xdr:col>
      <xdr:colOff>190500</xdr:colOff>
      <xdr:row>9</xdr:row>
      <xdr:rowOff>114300</xdr:rowOff>
    </xdr:to>
    <xdr:sp macro="" textlink="">
      <xdr:nvSpPr>
        <xdr:cNvPr id="10" name="Retângulo: Cantos Arredondados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F4C3862-D056-3F89-E2C1-ABF127764212}"/>
            </a:ext>
          </a:extLst>
        </xdr:cNvPr>
        <xdr:cNvSpPr/>
      </xdr:nvSpPr>
      <xdr:spPr>
        <a:xfrm>
          <a:off x="6181725" y="1190625"/>
          <a:ext cx="1933575" cy="6381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ANEXOS</a:t>
          </a:r>
        </a:p>
      </xdr:txBody>
    </xdr:sp>
    <xdr:clientData/>
  </xdr:twoCellAnchor>
  <xdr:twoCellAnchor>
    <xdr:from>
      <xdr:col>10</xdr:col>
      <xdr:colOff>85725</xdr:colOff>
      <xdr:row>10</xdr:row>
      <xdr:rowOff>161925</xdr:rowOff>
    </xdr:from>
    <xdr:to>
      <xdr:col>13</xdr:col>
      <xdr:colOff>190500</xdr:colOff>
      <xdr:row>14</xdr:row>
      <xdr:rowOff>38100</xdr:rowOff>
    </xdr:to>
    <xdr:sp macro="" textlink="">
      <xdr:nvSpPr>
        <xdr:cNvPr id="3" name="Retângulo: Cantos Arredondados 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AE75865E-C328-1AE7-685B-81ACA45C65C0}"/>
            </a:ext>
          </a:extLst>
        </xdr:cNvPr>
        <xdr:cNvSpPr/>
      </xdr:nvSpPr>
      <xdr:spPr>
        <a:xfrm>
          <a:off x="6181725" y="2066925"/>
          <a:ext cx="1933575" cy="6381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Lisrta de Verificação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466725</xdr:colOff>
      <xdr:row>1</xdr:row>
      <xdr:rowOff>19050</xdr:rowOff>
    </xdr:from>
    <xdr:to>
      <xdr:col>7</xdr:col>
      <xdr:colOff>419100</xdr:colOff>
      <xdr:row>2</xdr:row>
      <xdr:rowOff>133350</xdr:rowOff>
    </xdr:to>
    <xdr:sp macro="" textlink="">
      <xdr:nvSpPr>
        <xdr:cNvPr id="2" name="Retângulo Arredond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26A59F-7649-4AB8-9E85-87F41D5B8F82}"/>
            </a:ext>
          </a:extLst>
        </xdr:cNvPr>
        <xdr:cNvSpPr/>
      </xdr:nvSpPr>
      <xdr:spPr>
        <a:xfrm>
          <a:off x="7867650" y="209550"/>
          <a:ext cx="1781175" cy="4953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2400"/>
            <a:t>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485775</xdr:colOff>
      <xdr:row>2</xdr:row>
      <xdr:rowOff>161925</xdr:rowOff>
    </xdr:from>
    <xdr:to>
      <xdr:col>9</xdr:col>
      <xdr:colOff>295275</xdr:colOff>
      <xdr:row>5</xdr:row>
      <xdr:rowOff>85725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2E844E-0104-A6E0-4405-9622F9F7FA23}"/>
            </a:ext>
          </a:extLst>
        </xdr:cNvPr>
        <xdr:cNvSpPr/>
      </xdr:nvSpPr>
      <xdr:spPr>
        <a:xfrm>
          <a:off x="9001125" y="352425"/>
          <a:ext cx="1781175" cy="4953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MENU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381000</xdr:colOff>
      <xdr:row>0</xdr:row>
      <xdr:rowOff>152400</xdr:rowOff>
    </xdr:from>
    <xdr:to>
      <xdr:col>6</xdr:col>
      <xdr:colOff>333375</xdr:colOff>
      <xdr:row>3</xdr:row>
      <xdr:rowOff>76200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7C027A6-F604-47CF-9E6F-974725649742}"/>
            </a:ext>
          </a:extLst>
        </xdr:cNvPr>
        <xdr:cNvSpPr/>
      </xdr:nvSpPr>
      <xdr:spPr>
        <a:xfrm>
          <a:off x="6143625" y="152400"/>
          <a:ext cx="1781175" cy="4953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MENU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257175</xdr:colOff>
      <xdr:row>0</xdr:row>
      <xdr:rowOff>104775</xdr:rowOff>
    </xdr:from>
    <xdr:to>
      <xdr:col>8</xdr:col>
      <xdr:colOff>209550</xdr:colOff>
      <xdr:row>3</xdr:row>
      <xdr:rowOff>28575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EC730B7-5D1C-430F-B522-F91765BD90AD}"/>
            </a:ext>
          </a:extLst>
        </xdr:cNvPr>
        <xdr:cNvSpPr/>
      </xdr:nvSpPr>
      <xdr:spPr>
        <a:xfrm>
          <a:off x="7543800" y="104775"/>
          <a:ext cx="1781175" cy="4953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MENU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276225</xdr:colOff>
      <xdr:row>1</xdr:row>
      <xdr:rowOff>96716</xdr:rowOff>
    </xdr:from>
    <xdr:to>
      <xdr:col>7</xdr:col>
      <xdr:colOff>208818</xdr:colOff>
      <xdr:row>3</xdr:row>
      <xdr:rowOff>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1FC0F04-E8F1-4A38-819E-047BB6BF919F}"/>
            </a:ext>
          </a:extLst>
        </xdr:cNvPr>
        <xdr:cNvSpPr/>
      </xdr:nvSpPr>
      <xdr:spPr>
        <a:xfrm>
          <a:off x="6581775" y="287216"/>
          <a:ext cx="1780443" cy="4286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MENU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615462</xdr:colOff>
      <xdr:row>0</xdr:row>
      <xdr:rowOff>161192</xdr:rowOff>
    </xdr:from>
    <xdr:to>
      <xdr:col>8</xdr:col>
      <xdr:colOff>286483</xdr:colOff>
      <xdr:row>3</xdr:row>
      <xdr:rowOff>84992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09E041D-1C9B-4B99-99E1-AA427E60C191}"/>
            </a:ext>
          </a:extLst>
        </xdr:cNvPr>
        <xdr:cNvSpPr/>
      </xdr:nvSpPr>
      <xdr:spPr>
        <a:xfrm>
          <a:off x="6103327" y="161192"/>
          <a:ext cx="1781175" cy="4953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MENU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315057</xdr:colOff>
      <xdr:row>0</xdr:row>
      <xdr:rowOff>73269</xdr:rowOff>
    </xdr:from>
    <xdr:to>
      <xdr:col>6</xdr:col>
      <xdr:colOff>616194</xdr:colOff>
      <xdr:row>2</xdr:row>
      <xdr:rowOff>187569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EF96BBD-4756-4A49-9EDA-6F88811A17C3}"/>
            </a:ext>
          </a:extLst>
        </xdr:cNvPr>
        <xdr:cNvSpPr/>
      </xdr:nvSpPr>
      <xdr:spPr>
        <a:xfrm>
          <a:off x="6718788" y="73269"/>
          <a:ext cx="1781175" cy="4953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MENU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441036</xdr:colOff>
      <xdr:row>1</xdr:row>
      <xdr:rowOff>144896</xdr:rowOff>
    </xdr:from>
    <xdr:to>
      <xdr:col>16</xdr:col>
      <xdr:colOff>429779</xdr:colOff>
      <xdr:row>2</xdr:row>
      <xdr:rowOff>311151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0C96BDB-1BE1-4BF3-9354-7810A8753DAE}"/>
            </a:ext>
          </a:extLst>
        </xdr:cNvPr>
        <xdr:cNvSpPr/>
      </xdr:nvSpPr>
      <xdr:spPr>
        <a:xfrm>
          <a:off x="19993263" y="318078"/>
          <a:ext cx="3019425" cy="4953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MENU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130968</xdr:colOff>
      <xdr:row>0</xdr:row>
      <xdr:rowOff>178593</xdr:rowOff>
    </xdr:from>
    <xdr:to>
      <xdr:col>3</xdr:col>
      <xdr:colOff>90487</xdr:colOff>
      <xdr:row>3</xdr:row>
      <xdr:rowOff>102393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00A986B-20AB-47FA-B483-3467F6F0E633}"/>
            </a:ext>
          </a:extLst>
        </xdr:cNvPr>
        <xdr:cNvSpPr/>
      </xdr:nvSpPr>
      <xdr:spPr>
        <a:xfrm>
          <a:off x="130968" y="178593"/>
          <a:ext cx="1781175" cy="4953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MENU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hyperlink" Target="https://petrobrasbr.sharepoint.com/teams/engenhariademanutencaoconfiabilidadeegestaodeativos/SitePages/Informa%C3%A7%C3%B5es-Adicionais.aspx?source=https%3A%2F%2Fpetrobrasbr.sharepoint.com%2Fteams%2Fengenhariademanutencaoconfiabilidadeegestaodeativos%2FSitePages%2FForms%2FByAuthor.aspx" TargetMode="External"/><Relationship Id="rId1" Type="http://schemas.openxmlformats.org/officeDocument/2006/relationships/hyperlink" Target="https://nortec.engenharia.petrobras.com.br/nortec/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A426E-14A7-4796-AB7D-2CA2C329280F}">
  <sheetPr codeName="Planilha8"/>
  <dimension ref="A1"/>
  <sheetViews>
    <sheetView showGridLines="0" tabSelected="1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AE1FF-1D93-4DDD-A730-64C6D6C114A1}">
  <sheetPr>
    <tabColor rgb="FF00B050"/>
  </sheetPr>
  <dimension ref="A1:C50"/>
  <sheetViews>
    <sheetView workbookViewId="0">
      <selection activeCell="A11" sqref="A11"/>
    </sheetView>
  </sheetViews>
  <sheetFormatPr defaultRowHeight="15" x14ac:dyDescent="0.25"/>
  <cols>
    <col min="1" max="1" width="81.85546875" customWidth="1"/>
    <col min="2" max="2" width="18.42578125" bestFit="1" customWidth="1"/>
    <col min="3" max="3" width="18.140625" bestFit="1" customWidth="1"/>
  </cols>
  <sheetData>
    <row r="1" spans="1:3" x14ac:dyDescent="0.25">
      <c r="A1" s="60" t="s">
        <v>0</v>
      </c>
      <c r="B1" s="60" t="s">
        <v>1</v>
      </c>
      <c r="C1" s="60" t="s">
        <v>2</v>
      </c>
    </row>
    <row r="2" spans="1:3" x14ac:dyDescent="0.25">
      <c r="A2" s="37" t="s">
        <v>3</v>
      </c>
      <c r="B2" s="61"/>
      <c r="C2" s="61"/>
    </row>
    <row r="3" spans="1:3" x14ac:dyDescent="0.25">
      <c r="A3" s="37" t="s">
        <v>4</v>
      </c>
      <c r="B3" s="61"/>
      <c r="C3" s="61"/>
    </row>
    <row r="4" spans="1:3" x14ac:dyDescent="0.25">
      <c r="A4" s="37" t="s">
        <v>5</v>
      </c>
      <c r="B4" s="61"/>
      <c r="C4" s="61"/>
    </row>
    <row r="5" spans="1:3" x14ac:dyDescent="0.25">
      <c r="A5" s="37" t="s">
        <v>6</v>
      </c>
      <c r="B5" s="61"/>
      <c r="C5" s="61"/>
    </row>
    <row r="6" spans="1:3" x14ac:dyDescent="0.25">
      <c r="A6" s="37" t="s">
        <v>7</v>
      </c>
      <c r="B6" s="61"/>
      <c r="C6" s="61"/>
    </row>
    <row r="7" spans="1:3" x14ac:dyDescent="0.25">
      <c r="A7" s="37" t="s">
        <v>8</v>
      </c>
      <c r="B7" s="61"/>
      <c r="C7" s="61"/>
    </row>
    <row r="8" spans="1:3" x14ac:dyDescent="0.25">
      <c r="A8" s="37"/>
      <c r="B8" s="61"/>
      <c r="C8" s="61"/>
    </row>
    <row r="9" spans="1:3" x14ac:dyDescent="0.25">
      <c r="A9" s="37" t="s">
        <v>9</v>
      </c>
      <c r="B9" s="61"/>
      <c r="C9" s="61"/>
    </row>
    <row r="10" spans="1:3" x14ac:dyDescent="0.25">
      <c r="A10" s="37" t="s">
        <v>10</v>
      </c>
      <c r="B10" s="61"/>
      <c r="C10" s="61"/>
    </row>
    <row r="11" spans="1:3" x14ac:dyDescent="0.25">
      <c r="A11" s="37" t="s">
        <v>11</v>
      </c>
      <c r="B11" s="61"/>
      <c r="C11" s="61"/>
    </row>
    <row r="12" spans="1:3" x14ac:dyDescent="0.25">
      <c r="A12" s="37" t="s">
        <v>12</v>
      </c>
      <c r="B12" s="61"/>
      <c r="C12" s="61"/>
    </row>
    <row r="13" spans="1:3" x14ac:dyDescent="0.25">
      <c r="A13" s="37" t="s">
        <v>13</v>
      </c>
      <c r="B13" s="61"/>
      <c r="C13" s="61"/>
    </row>
    <row r="14" spans="1:3" x14ac:dyDescent="0.25">
      <c r="A14" s="37" t="s">
        <v>14</v>
      </c>
      <c r="B14" s="61"/>
      <c r="C14" s="61"/>
    </row>
    <row r="15" spans="1:3" x14ac:dyDescent="0.25">
      <c r="A15" s="37" t="s">
        <v>15</v>
      </c>
      <c r="B15" s="61"/>
      <c r="C15" s="61"/>
    </row>
    <row r="16" spans="1:3" x14ac:dyDescent="0.25">
      <c r="A16" s="37"/>
      <c r="B16" s="61"/>
      <c r="C16" s="61"/>
    </row>
    <row r="17" spans="1:3" x14ac:dyDescent="0.25">
      <c r="A17" s="37" t="s">
        <v>16</v>
      </c>
      <c r="B17" s="61"/>
      <c r="C17" s="61"/>
    </row>
    <row r="18" spans="1:3" x14ac:dyDescent="0.25">
      <c r="A18" s="37" t="s">
        <v>17</v>
      </c>
      <c r="B18" s="61"/>
      <c r="C18" s="61"/>
    </row>
    <row r="19" spans="1:3" x14ac:dyDescent="0.25">
      <c r="A19" s="37" t="s">
        <v>18</v>
      </c>
      <c r="B19" s="61"/>
      <c r="C19" s="61"/>
    </row>
    <row r="20" spans="1:3" x14ac:dyDescent="0.25">
      <c r="A20" s="37" t="s">
        <v>19</v>
      </c>
      <c r="B20" s="61"/>
      <c r="C20" s="61"/>
    </row>
    <row r="21" spans="1:3" x14ac:dyDescent="0.25">
      <c r="A21" s="37" t="s">
        <v>20</v>
      </c>
      <c r="B21" s="61"/>
      <c r="C21" s="61"/>
    </row>
    <row r="22" spans="1:3" x14ac:dyDescent="0.25">
      <c r="A22" s="37" t="s">
        <v>21</v>
      </c>
      <c r="B22" s="61"/>
      <c r="C22" s="61"/>
    </row>
    <row r="23" spans="1:3" ht="30" x14ac:dyDescent="0.25">
      <c r="A23" s="37" t="s">
        <v>22</v>
      </c>
      <c r="B23" s="61"/>
      <c r="C23" s="61"/>
    </row>
    <row r="24" spans="1:3" x14ac:dyDescent="0.25">
      <c r="A24" s="37"/>
      <c r="B24" s="61"/>
      <c r="C24" s="61"/>
    </row>
    <row r="25" spans="1:3" x14ac:dyDescent="0.25">
      <c r="A25" s="37" t="s">
        <v>23</v>
      </c>
      <c r="B25" s="61"/>
      <c r="C25" s="61"/>
    </row>
    <row r="26" spans="1:3" x14ac:dyDescent="0.25">
      <c r="A26" s="37" t="s">
        <v>24</v>
      </c>
      <c r="B26" s="61"/>
      <c r="C26" s="61"/>
    </row>
    <row r="27" spans="1:3" x14ac:dyDescent="0.25">
      <c r="A27" s="37" t="s">
        <v>25</v>
      </c>
      <c r="B27" s="61"/>
      <c r="C27" s="61"/>
    </row>
    <row r="28" spans="1:3" x14ac:dyDescent="0.25">
      <c r="A28" s="37" t="s">
        <v>26</v>
      </c>
      <c r="B28" s="61"/>
      <c r="C28" s="61"/>
    </row>
    <row r="29" spans="1:3" x14ac:dyDescent="0.25">
      <c r="A29" s="37" t="s">
        <v>27</v>
      </c>
      <c r="B29" s="61"/>
      <c r="C29" s="61"/>
    </row>
    <row r="30" spans="1:3" x14ac:dyDescent="0.25">
      <c r="A30" s="37" t="s">
        <v>28</v>
      </c>
      <c r="B30" s="61"/>
      <c r="C30" s="61"/>
    </row>
    <row r="31" spans="1:3" x14ac:dyDescent="0.25">
      <c r="A31" s="37"/>
      <c r="B31" s="61"/>
      <c r="C31" s="61"/>
    </row>
    <row r="32" spans="1:3" x14ac:dyDescent="0.25">
      <c r="A32" s="37" t="s">
        <v>29</v>
      </c>
      <c r="B32" s="61"/>
      <c r="C32" s="61"/>
    </row>
    <row r="33" spans="1:3" x14ac:dyDescent="0.25">
      <c r="A33" s="37" t="s">
        <v>30</v>
      </c>
      <c r="B33" s="61"/>
      <c r="C33" s="61"/>
    </row>
    <row r="34" spans="1:3" ht="30" x14ac:dyDescent="0.25">
      <c r="A34" s="37" t="s">
        <v>31</v>
      </c>
      <c r="B34" s="61"/>
      <c r="C34" s="61"/>
    </row>
    <row r="35" spans="1:3" x14ac:dyDescent="0.25">
      <c r="A35" s="37" t="s">
        <v>32</v>
      </c>
      <c r="B35" s="61"/>
      <c r="C35" s="61"/>
    </row>
    <row r="36" spans="1:3" x14ac:dyDescent="0.25">
      <c r="A36" s="37" t="s">
        <v>33</v>
      </c>
      <c r="B36" s="61"/>
      <c r="C36" s="61"/>
    </row>
    <row r="37" spans="1:3" x14ac:dyDescent="0.25">
      <c r="A37" s="37"/>
      <c r="B37" s="61"/>
      <c r="C37" s="61"/>
    </row>
    <row r="38" spans="1:3" x14ac:dyDescent="0.25">
      <c r="A38" s="37" t="s">
        <v>34</v>
      </c>
      <c r="B38" s="61"/>
      <c r="C38" s="61"/>
    </row>
    <row r="39" spans="1:3" x14ac:dyDescent="0.25">
      <c r="A39" s="37" t="s">
        <v>35</v>
      </c>
      <c r="B39" s="61"/>
      <c r="C39" s="61"/>
    </row>
    <row r="40" spans="1:3" x14ac:dyDescent="0.25">
      <c r="A40" s="71" t="s">
        <v>36</v>
      </c>
      <c r="B40" s="61"/>
      <c r="C40" s="61"/>
    </row>
    <row r="41" spans="1:3" x14ac:dyDescent="0.25">
      <c r="A41" s="71" t="s">
        <v>37</v>
      </c>
      <c r="B41" s="61"/>
      <c r="C41" s="61"/>
    </row>
    <row r="42" spans="1:3" x14ac:dyDescent="0.25">
      <c r="A42" s="71" t="s">
        <v>38</v>
      </c>
      <c r="B42" s="61"/>
      <c r="C42" s="61"/>
    </row>
    <row r="43" spans="1:3" x14ac:dyDescent="0.25">
      <c r="A43" s="71" t="s">
        <v>39</v>
      </c>
      <c r="B43" s="61"/>
      <c r="C43" s="61"/>
    </row>
    <row r="44" spans="1:3" x14ac:dyDescent="0.25">
      <c r="A44" s="71" t="s">
        <v>40</v>
      </c>
      <c r="B44" s="61"/>
      <c r="C44" s="61"/>
    </row>
    <row r="45" spans="1:3" x14ac:dyDescent="0.25">
      <c r="A45" s="71" t="s">
        <v>41</v>
      </c>
      <c r="B45" s="61"/>
      <c r="C45" s="61"/>
    </row>
    <row r="46" spans="1:3" x14ac:dyDescent="0.25">
      <c r="A46" s="71" t="s">
        <v>42</v>
      </c>
      <c r="B46" s="61"/>
      <c r="C46" s="61"/>
    </row>
    <row r="47" spans="1:3" x14ac:dyDescent="0.25">
      <c r="A47" s="37" t="s">
        <v>43</v>
      </c>
      <c r="B47" s="61"/>
      <c r="C47" s="61"/>
    </row>
    <row r="48" spans="1:3" x14ac:dyDescent="0.25">
      <c r="A48" s="37" t="s">
        <v>44</v>
      </c>
      <c r="B48" s="61"/>
      <c r="C48" s="61"/>
    </row>
    <row r="49" spans="1:3" x14ac:dyDescent="0.25">
      <c r="A49" s="37" t="s">
        <v>45</v>
      </c>
      <c r="B49" s="61"/>
      <c r="C49" s="61"/>
    </row>
    <row r="50" spans="1:3" x14ac:dyDescent="0.25">
      <c r="A50" s="37" t="s">
        <v>46</v>
      </c>
      <c r="B50" s="61"/>
      <c r="C50" s="61"/>
    </row>
  </sheetData>
  <dataValidations count="1">
    <dataValidation type="list" allowBlank="1" showInputMessage="1" showErrorMessage="1" sqref="B2:C26" xr:uid="{93E6FDE5-E856-4CD4-81ED-E91842C15E87}">
      <formula1>"OK, NOK"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4517E-4187-4BE5-BA46-88843B8428E7}">
  <sheetPr codeName="Planilha1">
    <tabColor rgb="FF00B050"/>
  </sheetPr>
  <dimension ref="A1:D40"/>
  <sheetViews>
    <sheetView showGridLines="0" zoomScale="85" zoomScaleNormal="85" workbookViewId="0"/>
  </sheetViews>
  <sheetFormatPr defaultRowHeight="15" x14ac:dyDescent="0.25"/>
  <cols>
    <col min="1" max="1" width="3" style="18" bestFit="1" customWidth="1"/>
    <col min="2" max="2" width="38.28515625" style="21" bestFit="1" customWidth="1"/>
    <col min="3" max="3" width="36.85546875" customWidth="1"/>
    <col min="4" max="4" width="27.42578125" bestFit="1" customWidth="1"/>
    <col min="5" max="5" width="10.28515625" bestFit="1" customWidth="1"/>
    <col min="6" max="6" width="11.85546875" bestFit="1" customWidth="1"/>
    <col min="7" max="7" width="15.85546875" bestFit="1" customWidth="1"/>
    <col min="8" max="8" width="4.5703125" bestFit="1" customWidth="1"/>
  </cols>
  <sheetData>
    <row r="1" spans="1:4" x14ac:dyDescent="0.25">
      <c r="B1" s="57" t="s">
        <v>47</v>
      </c>
    </row>
    <row r="2" spans="1:4" x14ac:dyDescent="0.25">
      <c r="A2" s="19">
        <v>1</v>
      </c>
      <c r="B2" s="20" t="s">
        <v>48</v>
      </c>
      <c r="C2" s="1" t="s">
        <v>49</v>
      </c>
      <c r="D2" s="1" t="s">
        <v>50</v>
      </c>
    </row>
    <row r="3" spans="1:4" x14ac:dyDescent="0.25">
      <c r="A3" s="19">
        <v>2</v>
      </c>
      <c r="B3" s="20" t="s">
        <v>51</v>
      </c>
      <c r="C3" s="1" t="s">
        <v>52</v>
      </c>
      <c r="D3" s="1" t="s">
        <v>50</v>
      </c>
    </row>
    <row r="4" spans="1:4" x14ac:dyDescent="0.25">
      <c r="A4" s="19">
        <v>3</v>
      </c>
      <c r="B4" s="20" t="s">
        <v>53</v>
      </c>
      <c r="C4" s="1" t="s">
        <v>54</v>
      </c>
      <c r="D4" s="1" t="s">
        <v>50</v>
      </c>
    </row>
    <row r="5" spans="1:4" x14ac:dyDescent="0.25">
      <c r="A5" s="19">
        <v>4</v>
      </c>
      <c r="B5" s="20" t="s">
        <v>55</v>
      </c>
      <c r="C5" s="1" t="s">
        <v>56</v>
      </c>
      <c r="D5" s="1" t="s">
        <v>50</v>
      </c>
    </row>
    <row r="6" spans="1:4" x14ac:dyDescent="0.25">
      <c r="A6" s="19">
        <v>5</v>
      </c>
      <c r="B6" s="20" t="s">
        <v>56</v>
      </c>
      <c r="C6" s="1" t="s">
        <v>57</v>
      </c>
      <c r="D6" s="1" t="s">
        <v>58</v>
      </c>
    </row>
    <row r="7" spans="1:4" x14ac:dyDescent="0.25">
      <c r="A7" s="19">
        <v>6</v>
      </c>
      <c r="B7" s="20" t="s">
        <v>59</v>
      </c>
      <c r="C7" s="1" t="s">
        <v>60</v>
      </c>
      <c r="D7" s="1" t="s">
        <v>61</v>
      </c>
    </row>
    <row r="8" spans="1:4" x14ac:dyDescent="0.25">
      <c r="A8" s="19">
        <v>7</v>
      </c>
      <c r="B8" s="20" t="s">
        <v>62</v>
      </c>
      <c r="C8" s="1"/>
      <c r="D8" s="1" t="s">
        <v>63</v>
      </c>
    </row>
    <row r="9" spans="1:4" x14ac:dyDescent="0.25">
      <c r="A9" s="19">
        <v>8</v>
      </c>
      <c r="B9" s="20" t="s">
        <v>64</v>
      </c>
      <c r="C9" s="3"/>
      <c r="D9" s="1" t="s">
        <v>65</v>
      </c>
    </row>
    <row r="10" spans="1:4" x14ac:dyDescent="0.25">
      <c r="A10" s="19">
        <v>9</v>
      </c>
      <c r="B10" s="56" t="s">
        <v>66</v>
      </c>
      <c r="C10" s="3"/>
      <c r="D10" s="1" t="s">
        <v>63</v>
      </c>
    </row>
    <row r="11" spans="1:4" x14ac:dyDescent="0.25">
      <c r="A11" s="19">
        <v>10</v>
      </c>
      <c r="B11" s="20" t="s">
        <v>67</v>
      </c>
      <c r="C11" s="1"/>
      <c r="D11" s="1" t="s">
        <v>63</v>
      </c>
    </row>
    <row r="12" spans="1:4" x14ac:dyDescent="0.25">
      <c r="A12" s="19">
        <v>11</v>
      </c>
      <c r="B12" s="56" t="s">
        <v>68</v>
      </c>
      <c r="C12" s="3"/>
      <c r="D12" s="1" t="s">
        <v>63</v>
      </c>
    </row>
    <row r="13" spans="1:4" x14ac:dyDescent="0.25">
      <c r="A13" s="19">
        <v>12</v>
      </c>
      <c r="B13" s="20" t="s">
        <v>69</v>
      </c>
      <c r="C13" s="1"/>
      <c r="D13" s="1"/>
    </row>
    <row r="14" spans="1:4" x14ac:dyDescent="0.25">
      <c r="A14" s="19">
        <v>13</v>
      </c>
      <c r="B14" s="20" t="s">
        <v>70</v>
      </c>
      <c r="C14" s="1"/>
      <c r="D14" s="1" t="s">
        <v>50</v>
      </c>
    </row>
    <row r="15" spans="1:4" x14ac:dyDescent="0.25">
      <c r="A15" s="19">
        <v>14</v>
      </c>
      <c r="B15" s="20" t="s">
        <v>71</v>
      </c>
      <c r="C15" s="1"/>
      <c r="D15" s="1"/>
    </row>
    <row r="16" spans="1:4" x14ac:dyDescent="0.25">
      <c r="A16" s="19">
        <v>15</v>
      </c>
      <c r="B16" s="32" t="s">
        <v>72</v>
      </c>
      <c r="C16" s="24"/>
      <c r="D16" s="1" t="s">
        <v>50</v>
      </c>
    </row>
    <row r="17" spans="1:4" x14ac:dyDescent="0.25">
      <c r="A17" s="19">
        <v>16</v>
      </c>
      <c r="B17" s="32" t="s">
        <v>73</v>
      </c>
      <c r="C17" s="24"/>
      <c r="D17" s="1"/>
    </row>
    <row r="18" spans="1:4" x14ac:dyDescent="0.25">
      <c r="A18" s="19">
        <v>17</v>
      </c>
      <c r="B18" s="58" t="s">
        <v>74</v>
      </c>
      <c r="C18" s="1"/>
      <c r="D18" s="1"/>
    </row>
    <row r="19" spans="1:4" x14ac:dyDescent="0.25">
      <c r="A19" s="19">
        <v>18</v>
      </c>
      <c r="B19" s="58" t="s">
        <v>75</v>
      </c>
      <c r="C19" s="1"/>
      <c r="D19" s="1"/>
    </row>
    <row r="20" spans="1:4" x14ac:dyDescent="0.25">
      <c r="A20" s="19">
        <v>19</v>
      </c>
      <c r="B20" s="58" t="s">
        <v>76</v>
      </c>
      <c r="C20" s="1"/>
      <c r="D20" s="1"/>
    </row>
    <row r="21" spans="1:4" x14ac:dyDescent="0.25">
      <c r="A21" s="19">
        <v>20</v>
      </c>
      <c r="B21" s="58" t="s">
        <v>77</v>
      </c>
      <c r="C21" s="1"/>
      <c r="D21" s="1"/>
    </row>
    <row r="22" spans="1:4" x14ac:dyDescent="0.25">
      <c r="A22" s="19">
        <v>21</v>
      </c>
      <c r="B22" s="58" t="s">
        <v>78</v>
      </c>
      <c r="C22" s="1"/>
      <c r="D22" s="1"/>
    </row>
    <row r="23" spans="1:4" x14ac:dyDescent="0.25">
      <c r="A23" s="19">
        <v>22</v>
      </c>
      <c r="B23" s="58" t="s">
        <v>79</v>
      </c>
      <c r="C23" s="1"/>
      <c r="D23" s="1"/>
    </row>
    <row r="24" spans="1:4" x14ac:dyDescent="0.25">
      <c r="A24" s="19">
        <v>23</v>
      </c>
      <c r="B24" s="58" t="s">
        <v>80</v>
      </c>
      <c r="C24" s="1"/>
      <c r="D24" s="1"/>
    </row>
    <row r="25" spans="1:4" x14ac:dyDescent="0.25">
      <c r="A25" s="19">
        <v>24</v>
      </c>
      <c r="B25" s="58" t="s">
        <v>81</v>
      </c>
      <c r="C25" s="1"/>
      <c r="D25" s="1"/>
    </row>
    <row r="26" spans="1:4" x14ac:dyDescent="0.25">
      <c r="A26" s="19">
        <v>25</v>
      </c>
      <c r="B26" s="58" t="s">
        <v>82</v>
      </c>
      <c r="C26" s="1"/>
      <c r="D26" s="1"/>
    </row>
    <row r="27" spans="1:4" x14ac:dyDescent="0.25">
      <c r="A27" s="19">
        <v>26</v>
      </c>
      <c r="B27" s="58" t="s">
        <v>83</v>
      </c>
      <c r="C27" s="1"/>
      <c r="D27" s="1"/>
    </row>
    <row r="28" spans="1:4" x14ac:dyDescent="0.25">
      <c r="A28" s="19">
        <v>27</v>
      </c>
      <c r="B28" s="58" t="s">
        <v>84</v>
      </c>
      <c r="C28" s="1"/>
      <c r="D28" s="1"/>
    </row>
    <row r="29" spans="1:4" x14ac:dyDescent="0.25">
      <c r="A29" s="19">
        <v>28</v>
      </c>
      <c r="B29" s="58" t="s">
        <v>85</v>
      </c>
      <c r="C29" s="1"/>
      <c r="D29" s="1"/>
    </row>
    <row r="30" spans="1:4" x14ac:dyDescent="0.25">
      <c r="A30" s="19">
        <v>29</v>
      </c>
      <c r="B30" s="58" t="s">
        <v>86</v>
      </c>
      <c r="C30" s="1"/>
      <c r="D30" s="1"/>
    </row>
    <row r="31" spans="1:4" x14ac:dyDescent="0.25">
      <c r="A31" s="19">
        <v>30</v>
      </c>
      <c r="B31" s="58" t="s">
        <v>87</v>
      </c>
      <c r="C31" s="1"/>
      <c r="D31" s="1"/>
    </row>
    <row r="32" spans="1:4" x14ac:dyDescent="0.25">
      <c r="A32" s="19">
        <v>31</v>
      </c>
      <c r="B32" s="58" t="s">
        <v>88</v>
      </c>
      <c r="C32" s="1"/>
      <c r="D32" s="1"/>
    </row>
    <row r="33" spans="1:4" x14ac:dyDescent="0.25">
      <c r="A33" s="19">
        <v>32</v>
      </c>
      <c r="B33" s="58" t="s">
        <v>89</v>
      </c>
      <c r="C33" s="1"/>
      <c r="D33" s="1"/>
    </row>
    <row r="34" spans="1:4" x14ac:dyDescent="0.25">
      <c r="A34" s="19">
        <v>33</v>
      </c>
      <c r="B34" s="58" t="s">
        <v>90</v>
      </c>
      <c r="C34" s="1"/>
      <c r="D34" s="1"/>
    </row>
    <row r="35" spans="1:4" x14ac:dyDescent="0.25">
      <c r="A35" s="19">
        <v>34</v>
      </c>
      <c r="B35" s="56" t="s">
        <v>91</v>
      </c>
      <c r="C35" s="1"/>
      <c r="D35" s="1"/>
    </row>
    <row r="36" spans="1:4" x14ac:dyDescent="0.25">
      <c r="A36" s="19">
        <v>35</v>
      </c>
      <c r="B36" s="56" t="s">
        <v>92</v>
      </c>
      <c r="C36" s="1"/>
      <c r="D36" s="1" t="s">
        <v>93</v>
      </c>
    </row>
    <row r="37" spans="1:4" x14ac:dyDescent="0.25">
      <c r="A37" s="19">
        <v>36</v>
      </c>
      <c r="B37" s="56" t="s">
        <v>94</v>
      </c>
      <c r="C37" s="1"/>
      <c r="D37" s="1" t="s">
        <v>95</v>
      </c>
    </row>
    <row r="38" spans="1:4" x14ac:dyDescent="0.25">
      <c r="A38" s="19">
        <v>37</v>
      </c>
      <c r="B38" s="34" t="s">
        <v>96</v>
      </c>
      <c r="C38" s="23"/>
      <c r="D38" s="1" t="s">
        <v>97</v>
      </c>
    </row>
    <row r="39" spans="1:4" x14ac:dyDescent="0.25">
      <c r="A39" s="19">
        <v>38</v>
      </c>
      <c r="B39" s="20" t="s">
        <v>98</v>
      </c>
      <c r="C39" s="3"/>
      <c r="D39" s="1"/>
    </row>
    <row r="40" spans="1:4" x14ac:dyDescent="0.25">
      <c r="B40" s="21" t="s">
        <v>99</v>
      </c>
    </row>
  </sheetData>
  <phoneticPr fontId="2" type="noConversion"/>
  <dataValidations count="6">
    <dataValidation type="list" allowBlank="1" showInputMessage="1" showErrorMessage="1" sqref="C29" xr:uid="{73E6F9BD-4E4B-4513-8BEC-CCA309BCFDDA}">
      <formula1>"Barril, Carcaça Bipartida, Carcaça Axial, Cartucho"</formula1>
    </dataValidation>
    <dataValidation type="list" allowBlank="1" showInputMessage="1" showErrorMessage="1" sqref="C30" xr:uid="{D6454945-A685-4989-8B1F-5C481D26E7C6}">
      <formula1>"Horizontal, Vertical"</formula1>
    </dataValidation>
    <dataValidation type="list" allowBlank="1" showInputMessage="1" showErrorMessage="1" sqref="C31" xr:uid="{D28295D5-8550-4975-A58E-008A1CE015AF}">
      <formula1>"Mecânica, selagem a óleo, gás seco, packed, gland. Selo seco, labirinto, combinada"</formula1>
    </dataValidation>
    <dataValidation type="list" allowBlank="1" showInputMessage="1" showErrorMessage="1" sqref="C32" xr:uid="{948804F3-AEFF-4064-ADB0-E2D9963B0ADD}">
      <formula1>"Direta, Engrenagem,Integral"</formula1>
    </dataValidation>
    <dataValidation type="list" allowBlank="1" showInputMessage="1" showErrorMessage="1" sqref="C33" xr:uid="{31842145-6424-4BAA-BAA5-26057B232478}">
      <formula1>"Fixo, Flexível, hidráulico, magnético, desconectável"</formula1>
    </dataValidation>
    <dataValidation type="list" allowBlank="1" showInputMessage="1" showErrorMessage="1" sqref="C34" xr:uid="{AC451908-2232-44DF-B33A-C86DE83F557E}">
      <formula1>"Radial, Escora"</formula1>
    </dataValidation>
  </dataValidations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2E3F813-7A97-4407-8885-A99D56168B49}">
          <x14:formula1>
            <xm:f>'Tabelas de Referência'!$E$2:$E$32</xm:f>
          </x14:formula1>
          <xm:sqref>C14</xm:sqref>
        </x14:dataValidation>
        <x14:dataValidation type="list" allowBlank="1" showInputMessage="1" showErrorMessage="1" xr:uid="{E2D1B3B3-3486-4D4B-B045-796ED97CF0DB}">
          <x14:formula1>
            <xm:f>apoio!$L$2:$L$11</xm:f>
          </x14:formula1>
          <xm:sqref>C6</xm:sqref>
        </x14:dataValidation>
        <x14:dataValidation type="list" allowBlank="1" showInputMessage="1" showErrorMessage="1" xr:uid="{B60025DB-F4D0-4467-B60C-230D4F126630}">
          <x14:formula1>
            <xm:f>apoio!$C$2:$C$11</xm:f>
          </x14:formula1>
          <xm:sqref>C13</xm:sqref>
        </x14:dataValidation>
        <x14:dataValidation type="list" allowBlank="1" showInputMessage="1" showErrorMessage="1" xr:uid="{EA5012B0-917C-4869-91C0-BC8E5A6C833C}">
          <x14:formula1>
            <xm:f>PFCEO_Equip!$D:$D</xm:f>
          </x14:formula1>
          <xm:sqref>C7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7C744-9E37-42CE-8045-CABC096DEC65}">
  <sheetPr codeName="Planilha9">
    <tabColor rgb="FF00B050"/>
  </sheetPr>
  <dimension ref="A1:B23"/>
  <sheetViews>
    <sheetView workbookViewId="0"/>
  </sheetViews>
  <sheetFormatPr defaultRowHeight="15" x14ac:dyDescent="0.25"/>
  <cols>
    <col min="1" max="1" width="3.5703125" bestFit="1" customWidth="1"/>
    <col min="2" max="2" width="73.7109375" customWidth="1"/>
  </cols>
  <sheetData>
    <row r="1" spans="1:2" x14ac:dyDescent="0.25">
      <c r="A1" s="38">
        <v>1</v>
      </c>
      <c r="B1" s="1" t="s">
        <v>62</v>
      </c>
    </row>
    <row r="2" spans="1:2" x14ac:dyDescent="0.25">
      <c r="A2" s="74"/>
      <c r="B2" s="74"/>
    </row>
    <row r="3" spans="1:2" x14ac:dyDescent="0.25">
      <c r="A3" s="38">
        <v>2</v>
      </c>
      <c r="B3" s="1" t="s">
        <v>100</v>
      </c>
    </row>
    <row r="4" spans="1:2" x14ac:dyDescent="0.25">
      <c r="A4" s="74"/>
      <c r="B4" s="74"/>
    </row>
    <row r="5" spans="1:2" x14ac:dyDescent="0.25">
      <c r="A5" s="38">
        <v>3</v>
      </c>
      <c r="B5" s="1" t="s">
        <v>101</v>
      </c>
    </row>
    <row r="6" spans="1:2" x14ac:dyDescent="0.25">
      <c r="A6" s="74"/>
      <c r="B6" s="74"/>
    </row>
    <row r="7" spans="1:2" x14ac:dyDescent="0.25">
      <c r="A7" s="38">
        <v>4</v>
      </c>
      <c r="B7" s="1" t="s">
        <v>102</v>
      </c>
    </row>
    <row r="8" spans="1:2" x14ac:dyDescent="0.25">
      <c r="A8" s="74"/>
      <c r="B8" s="74"/>
    </row>
    <row r="9" spans="1:2" x14ac:dyDescent="0.25">
      <c r="A9" s="38">
        <v>5</v>
      </c>
      <c r="B9" s="1" t="s">
        <v>103</v>
      </c>
    </row>
    <row r="10" spans="1:2" x14ac:dyDescent="0.25">
      <c r="A10" s="38" t="s">
        <v>104</v>
      </c>
      <c r="B10" s="1"/>
    </row>
    <row r="11" spans="1:2" x14ac:dyDescent="0.25">
      <c r="A11" s="38" t="s">
        <v>105</v>
      </c>
      <c r="B11" s="1"/>
    </row>
    <row r="12" spans="1:2" x14ac:dyDescent="0.25">
      <c r="A12" s="38" t="s">
        <v>106</v>
      </c>
      <c r="B12" s="1"/>
    </row>
    <row r="13" spans="1:2" x14ac:dyDescent="0.25">
      <c r="A13" s="38" t="s">
        <v>107</v>
      </c>
      <c r="B13" s="1"/>
    </row>
    <row r="14" spans="1:2" x14ac:dyDescent="0.25">
      <c r="A14" s="38" t="s">
        <v>108</v>
      </c>
      <c r="B14" s="1"/>
    </row>
    <row r="15" spans="1:2" x14ac:dyDescent="0.25">
      <c r="A15" s="38" t="s">
        <v>109</v>
      </c>
      <c r="B15" s="1"/>
    </row>
    <row r="16" spans="1:2" x14ac:dyDescent="0.25">
      <c r="A16" s="38" t="s">
        <v>110</v>
      </c>
      <c r="B16" s="1"/>
    </row>
    <row r="17" spans="1:2" x14ac:dyDescent="0.25">
      <c r="A17" s="38" t="s">
        <v>111</v>
      </c>
      <c r="B17" s="1"/>
    </row>
    <row r="18" spans="1:2" x14ac:dyDescent="0.25">
      <c r="A18" s="38" t="s">
        <v>112</v>
      </c>
      <c r="B18" s="1"/>
    </row>
    <row r="19" spans="1:2" x14ac:dyDescent="0.25">
      <c r="A19" s="1">
        <v>6</v>
      </c>
      <c r="B19" s="1" t="s">
        <v>113</v>
      </c>
    </row>
    <row r="20" spans="1:2" x14ac:dyDescent="0.25">
      <c r="A20" s="74"/>
      <c r="B20" s="74"/>
    </row>
    <row r="21" spans="1:2" x14ac:dyDescent="0.25">
      <c r="A21" s="1">
        <v>7</v>
      </c>
      <c r="B21" s="1" t="s">
        <v>114</v>
      </c>
    </row>
    <row r="22" spans="1:2" x14ac:dyDescent="0.25">
      <c r="A22" s="74"/>
      <c r="B22" s="74"/>
    </row>
    <row r="23" spans="1:2" x14ac:dyDescent="0.25">
      <c r="A23" s="1">
        <v>8</v>
      </c>
      <c r="B23" s="1" t="s">
        <v>115</v>
      </c>
    </row>
  </sheetData>
  <mergeCells count="6">
    <mergeCell ref="A22:B22"/>
    <mergeCell ref="A2:B2"/>
    <mergeCell ref="A4:B4"/>
    <mergeCell ref="A6:B6"/>
    <mergeCell ref="A8:B8"/>
    <mergeCell ref="A20:B20"/>
  </mergeCells>
  <phoneticPr fontId="2" type="noConversion"/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C9A76-EE18-48F6-ACCE-8DB2E32CDC53}">
  <sheetPr codeName="Planilha3">
    <tabColor rgb="FF00B050"/>
  </sheetPr>
  <dimension ref="A1:E22"/>
  <sheetViews>
    <sheetView workbookViewId="0">
      <selection activeCell="B20" sqref="B20"/>
    </sheetView>
  </sheetViews>
  <sheetFormatPr defaultRowHeight="15" x14ac:dyDescent="0.25"/>
  <cols>
    <col min="1" max="1" width="3" bestFit="1" customWidth="1"/>
    <col min="2" max="2" width="75.7109375" bestFit="1" customWidth="1"/>
    <col min="3" max="3" width="12.140625" bestFit="1" customWidth="1"/>
    <col min="5" max="5" width="11.28515625" bestFit="1" customWidth="1"/>
  </cols>
  <sheetData>
    <row r="1" spans="1:5" x14ac:dyDescent="0.25">
      <c r="A1" s="16" t="s">
        <v>116</v>
      </c>
      <c r="B1" s="16" t="s">
        <v>117</v>
      </c>
      <c r="C1" s="16" t="s">
        <v>118</v>
      </c>
      <c r="D1" s="16" t="s">
        <v>119</v>
      </c>
      <c r="E1" s="16" t="s">
        <v>120</v>
      </c>
    </row>
    <row r="2" spans="1:5" x14ac:dyDescent="0.25">
      <c r="A2" s="1">
        <v>1</v>
      </c>
      <c r="B2" s="1"/>
      <c r="C2" s="1"/>
      <c r="D2" s="15"/>
      <c r="E2" s="15"/>
    </row>
    <row r="3" spans="1:5" x14ac:dyDescent="0.25">
      <c r="A3" s="1">
        <v>2</v>
      </c>
      <c r="B3" s="1"/>
      <c r="C3" s="1"/>
      <c r="D3" s="15"/>
      <c r="E3" s="15"/>
    </row>
    <row r="4" spans="1:5" x14ac:dyDescent="0.25">
      <c r="A4" s="1">
        <v>3</v>
      </c>
      <c r="B4" s="1"/>
      <c r="C4" s="1"/>
      <c r="D4" s="15"/>
      <c r="E4" s="15"/>
    </row>
    <row r="5" spans="1:5" x14ac:dyDescent="0.25">
      <c r="A5" s="1">
        <v>4</v>
      </c>
      <c r="B5" s="1"/>
      <c r="C5" s="1"/>
      <c r="D5" s="15"/>
      <c r="E5" s="15"/>
    </row>
    <row r="6" spans="1:5" x14ac:dyDescent="0.25">
      <c r="A6" s="1">
        <v>5</v>
      </c>
      <c r="B6" s="1"/>
      <c r="C6" s="1"/>
      <c r="D6" s="15"/>
      <c r="E6" s="15"/>
    </row>
    <row r="7" spans="1:5" x14ac:dyDescent="0.25">
      <c r="A7" s="1">
        <v>6</v>
      </c>
      <c r="B7" s="1"/>
      <c r="C7" s="1"/>
      <c r="D7" s="15"/>
      <c r="E7" s="15"/>
    </row>
    <row r="8" spans="1:5" x14ac:dyDescent="0.25">
      <c r="A8" s="1">
        <v>7</v>
      </c>
      <c r="B8" s="1"/>
      <c r="C8" s="1"/>
      <c r="D8" s="15"/>
      <c r="E8" s="15"/>
    </row>
    <row r="9" spans="1:5" x14ac:dyDescent="0.25">
      <c r="A9" s="1">
        <v>8</v>
      </c>
      <c r="B9" s="1"/>
      <c r="C9" s="1"/>
      <c r="D9" s="15"/>
      <c r="E9" s="15"/>
    </row>
    <row r="10" spans="1:5" x14ac:dyDescent="0.25">
      <c r="A10" s="1">
        <v>9</v>
      </c>
      <c r="B10" s="1"/>
      <c r="C10" s="1"/>
      <c r="D10" s="15"/>
      <c r="E10" s="15"/>
    </row>
    <row r="11" spans="1:5" x14ac:dyDescent="0.25">
      <c r="A11" s="1">
        <v>10</v>
      </c>
      <c r="B11" s="1"/>
      <c r="C11" s="1"/>
      <c r="D11" s="1"/>
      <c r="E11" s="1"/>
    </row>
    <row r="12" spans="1:5" x14ac:dyDescent="0.25">
      <c r="A12" s="1">
        <v>11</v>
      </c>
      <c r="B12" s="1"/>
      <c r="C12" s="1"/>
      <c r="D12" s="1"/>
      <c r="E12" s="1"/>
    </row>
    <row r="13" spans="1:5" x14ac:dyDescent="0.25">
      <c r="A13" s="1">
        <v>12</v>
      </c>
      <c r="B13" s="1"/>
      <c r="C13" s="1"/>
      <c r="D13" s="1"/>
      <c r="E13" s="1"/>
    </row>
    <row r="14" spans="1:5" x14ac:dyDescent="0.25">
      <c r="A14" s="1">
        <v>13</v>
      </c>
      <c r="B14" s="1"/>
      <c r="C14" s="1"/>
      <c r="D14" s="1"/>
      <c r="E14" s="1"/>
    </row>
    <row r="15" spans="1:5" x14ac:dyDescent="0.25">
      <c r="A15" s="1">
        <v>14</v>
      </c>
      <c r="B15" s="1"/>
      <c r="C15" s="1"/>
      <c r="D15" s="1"/>
      <c r="E15" s="1"/>
    </row>
    <row r="16" spans="1:5" x14ac:dyDescent="0.25">
      <c r="A16" s="1">
        <v>15</v>
      </c>
      <c r="B16" s="1"/>
      <c r="C16" s="1"/>
      <c r="D16" s="1"/>
      <c r="E16" s="1"/>
    </row>
    <row r="17" spans="1:5" x14ac:dyDescent="0.25">
      <c r="A17" s="1">
        <v>16</v>
      </c>
      <c r="B17" s="1"/>
      <c r="C17" s="1"/>
      <c r="D17" s="1"/>
      <c r="E17" s="1"/>
    </row>
    <row r="18" spans="1:5" x14ac:dyDescent="0.25">
      <c r="A18" s="1">
        <v>17</v>
      </c>
      <c r="B18" s="1"/>
      <c r="C18" s="1"/>
      <c r="D18" s="1"/>
      <c r="E18" s="1"/>
    </row>
    <row r="20" spans="1:5" ht="18.75" x14ac:dyDescent="0.3">
      <c r="B20" s="73" t="s">
        <v>103</v>
      </c>
    </row>
    <row r="21" spans="1:5" ht="18.75" x14ac:dyDescent="0.3">
      <c r="B21" s="73" t="s">
        <v>121</v>
      </c>
    </row>
    <row r="22" spans="1:5" ht="18.75" x14ac:dyDescent="0.3">
      <c r="B22" s="73" t="s">
        <v>122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F7F33-3418-4433-BE59-5EAC2D19518E}">
  <sheetPr codeName="Planilha10">
    <tabColor rgb="FF00B050"/>
  </sheetPr>
  <dimension ref="A1:G10"/>
  <sheetViews>
    <sheetView showGridLines="0" zoomScale="130" zoomScaleNormal="130" workbookViewId="0">
      <selection activeCell="G4" sqref="G4"/>
    </sheetView>
  </sheetViews>
  <sheetFormatPr defaultRowHeight="15" x14ac:dyDescent="0.25"/>
  <cols>
    <col min="1" max="1" width="3" style="18" bestFit="1" customWidth="1"/>
    <col min="2" max="2" width="26.140625" style="31" bestFit="1" customWidth="1"/>
    <col min="3" max="3" width="31.42578125" style="25" customWidth="1"/>
    <col min="4" max="4" width="12.85546875" bestFit="1" customWidth="1"/>
    <col min="5" max="5" width="10.28515625" bestFit="1" customWidth="1"/>
    <col min="6" max="6" width="11.85546875" bestFit="1" customWidth="1"/>
    <col min="7" max="7" width="15.85546875" bestFit="1" customWidth="1"/>
    <col min="8" max="8" width="4.5703125" bestFit="1" customWidth="1"/>
  </cols>
  <sheetData>
    <row r="1" spans="1:7" x14ac:dyDescent="0.25">
      <c r="A1" s="19">
        <v>1</v>
      </c>
      <c r="B1" s="27" t="s">
        <v>123</v>
      </c>
      <c r="C1" s="35"/>
      <c r="D1" s="3"/>
    </row>
    <row r="2" spans="1:7" x14ac:dyDescent="0.25">
      <c r="A2" s="19">
        <v>2</v>
      </c>
      <c r="B2" s="27" t="s">
        <v>124</v>
      </c>
      <c r="C2" s="36"/>
      <c r="D2" s="3" t="s">
        <v>50</v>
      </c>
      <c r="G2" s="33"/>
    </row>
    <row r="3" spans="1:7" x14ac:dyDescent="0.25">
      <c r="A3" s="19">
        <v>3</v>
      </c>
      <c r="B3" s="27" t="s">
        <v>125</v>
      </c>
      <c r="C3" s="36"/>
      <c r="D3" s="3" t="s">
        <v>50</v>
      </c>
    </row>
    <row r="4" spans="1:7" ht="30" x14ac:dyDescent="0.25">
      <c r="A4" s="19">
        <v>4</v>
      </c>
      <c r="B4" s="59" t="s">
        <v>126</v>
      </c>
      <c r="C4" s="35"/>
      <c r="D4" s="3"/>
    </row>
    <row r="5" spans="1:7" x14ac:dyDescent="0.25">
      <c r="A5" s="19"/>
      <c r="B5" s="27" t="s">
        <v>127</v>
      </c>
      <c r="C5" s="35"/>
      <c r="D5" s="3"/>
    </row>
    <row r="6" spans="1:7" ht="15" customHeight="1" x14ac:dyDescent="0.25">
      <c r="A6" s="75" t="s">
        <v>128</v>
      </c>
      <c r="B6" s="75"/>
      <c r="C6" s="75"/>
      <c r="D6" s="75"/>
    </row>
    <row r="7" spans="1:7" ht="15" customHeight="1" x14ac:dyDescent="0.25">
      <c r="A7" s="72"/>
      <c r="B7" s="62"/>
      <c r="C7" s="62"/>
      <c r="D7" s="72" t="s">
        <v>129</v>
      </c>
    </row>
    <row r="8" spans="1:7" ht="135" x14ac:dyDescent="0.25">
      <c r="B8" s="29" t="s">
        <v>130</v>
      </c>
      <c r="C8" s="37" t="s">
        <v>131</v>
      </c>
      <c r="D8" s="37" t="s">
        <v>132</v>
      </c>
    </row>
    <row r="9" spans="1:7" ht="150" x14ac:dyDescent="0.25">
      <c r="B9" s="29" t="s">
        <v>133</v>
      </c>
      <c r="C9" s="37" t="s">
        <v>134</v>
      </c>
      <c r="D9" s="37" t="s">
        <v>135</v>
      </c>
    </row>
    <row r="10" spans="1:7" ht="120" x14ac:dyDescent="0.25">
      <c r="B10" s="29" t="s">
        <v>136</v>
      </c>
      <c r="C10" s="37" t="s">
        <v>137</v>
      </c>
      <c r="D10" s="37" t="s">
        <v>138</v>
      </c>
    </row>
  </sheetData>
  <mergeCells count="1">
    <mergeCell ref="A6:D6"/>
  </mergeCells>
  <phoneticPr fontId="2" type="noConversion"/>
  <dataValidations count="1">
    <dataValidation type="list" allowBlank="1" showInputMessage="1" showErrorMessage="1" sqref="C5" xr:uid="{B44E5941-5BE5-4F7C-97B8-7B241451F34D}">
      <formula1>"Baixo, Mádio, Alto"</formula1>
    </dataValidation>
  </dataValidations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32C2D-E58B-4236-BA60-8F1277BE3363}">
  <sheetPr codeName="Planilha11">
    <tabColor rgb="FF00B050"/>
  </sheetPr>
  <dimension ref="A1:E9"/>
  <sheetViews>
    <sheetView showGridLines="0" zoomScale="130" zoomScaleNormal="130" workbookViewId="0"/>
  </sheetViews>
  <sheetFormatPr defaultRowHeight="15" x14ac:dyDescent="0.25"/>
  <cols>
    <col min="1" max="1" width="3" style="18" bestFit="1" customWidth="1"/>
    <col min="2" max="2" width="11.5703125" style="31" bestFit="1" customWidth="1"/>
    <col min="3" max="4" width="6.140625" style="31" customWidth="1"/>
    <col min="5" max="5" width="45.140625" style="25" customWidth="1"/>
    <col min="6" max="6" width="9.42578125" bestFit="1" customWidth="1"/>
    <col min="7" max="7" width="10.28515625" bestFit="1" customWidth="1"/>
    <col min="8" max="8" width="11.85546875" bestFit="1" customWidth="1"/>
    <col min="9" max="9" width="15.85546875" bestFit="1" customWidth="1"/>
    <col min="10" max="10" width="4.5703125" bestFit="1" customWidth="1"/>
  </cols>
  <sheetData>
    <row r="1" spans="2:5" x14ac:dyDescent="0.25">
      <c r="B1" s="76" t="s">
        <v>139</v>
      </c>
      <c r="C1" s="77"/>
      <c r="D1" s="77"/>
      <c r="E1" s="78"/>
    </row>
    <row r="2" spans="2:5" ht="30" x14ac:dyDescent="0.25">
      <c r="B2" s="29" t="s">
        <v>140</v>
      </c>
      <c r="C2" s="29" t="s">
        <v>141</v>
      </c>
      <c r="D2" s="29" t="s">
        <v>142</v>
      </c>
      <c r="E2" s="26" t="s">
        <v>143</v>
      </c>
    </row>
    <row r="3" spans="2:5" x14ac:dyDescent="0.25">
      <c r="B3" s="30">
        <v>45206</v>
      </c>
      <c r="C3" s="28"/>
      <c r="D3" s="28">
        <f>C3</f>
        <v>0</v>
      </c>
      <c r="E3" s="17"/>
    </row>
    <row r="4" spans="2:5" x14ac:dyDescent="0.25">
      <c r="B4" s="30">
        <v>45597</v>
      </c>
      <c r="C4" s="28">
        <f>IF(AND(B3&lt;&gt;"",B4&lt;&gt;""),B4-B3,"")</f>
        <v>391</v>
      </c>
      <c r="D4" s="28">
        <f>C4+D3</f>
        <v>391</v>
      </c>
      <c r="E4" s="17"/>
    </row>
    <row r="5" spans="2:5" x14ac:dyDescent="0.25">
      <c r="B5" s="30">
        <v>45642</v>
      </c>
      <c r="C5" s="28">
        <f t="shared" ref="C5:C9" si="0">IF(AND(B4&lt;&gt;"",B5&lt;&gt;""),B5-B4,"")</f>
        <v>45</v>
      </c>
      <c r="D5" s="28">
        <f>C5+D4</f>
        <v>436</v>
      </c>
      <c r="E5" s="17"/>
    </row>
    <row r="6" spans="2:5" x14ac:dyDescent="0.25">
      <c r="B6" s="30"/>
      <c r="C6" s="28" t="str">
        <f t="shared" si="0"/>
        <v/>
      </c>
      <c r="D6" s="28"/>
      <c r="E6" s="17"/>
    </row>
    <row r="7" spans="2:5" x14ac:dyDescent="0.25">
      <c r="B7" s="28"/>
      <c r="C7" s="28" t="str">
        <f t="shared" si="0"/>
        <v/>
      </c>
      <c r="D7" s="28"/>
      <c r="E7" s="17"/>
    </row>
    <row r="8" spans="2:5" x14ac:dyDescent="0.25">
      <c r="B8" s="28"/>
      <c r="C8" s="28" t="str">
        <f t="shared" si="0"/>
        <v/>
      </c>
      <c r="D8" s="28"/>
      <c r="E8" s="17"/>
    </row>
    <row r="9" spans="2:5" x14ac:dyDescent="0.25">
      <c r="B9" s="28"/>
      <c r="C9" s="28" t="str">
        <f t="shared" si="0"/>
        <v/>
      </c>
      <c r="D9" s="28"/>
      <c r="E9" s="17"/>
    </row>
  </sheetData>
  <mergeCells count="1">
    <mergeCell ref="B1:E1"/>
  </mergeCells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37665B-FDB3-46FE-98C1-A0991A37B142}">
  <sheetPr codeName="Planilha12">
    <tabColor rgb="FF00B050"/>
  </sheetPr>
  <dimension ref="A1:F26"/>
  <sheetViews>
    <sheetView showGridLines="0" zoomScale="130" zoomScaleNormal="130" workbookViewId="0"/>
  </sheetViews>
  <sheetFormatPr defaultRowHeight="15" x14ac:dyDescent="0.25"/>
  <cols>
    <col min="1" max="1" width="3.28515625" style="18" bestFit="1" customWidth="1"/>
    <col min="2" max="2" width="34.140625" style="31" customWidth="1"/>
    <col min="3" max="3" width="49.140625" style="25" customWidth="1"/>
    <col min="4" max="4" width="9.42578125" bestFit="1" customWidth="1"/>
    <col min="5" max="5" width="10.28515625" bestFit="1" customWidth="1"/>
    <col min="6" max="6" width="11.85546875" bestFit="1" customWidth="1"/>
    <col min="7" max="7" width="15.85546875" bestFit="1" customWidth="1"/>
    <col min="8" max="8" width="4.5703125" bestFit="1" customWidth="1"/>
  </cols>
  <sheetData>
    <row r="1" spans="1:4" x14ac:dyDescent="0.25">
      <c r="A1" s="64">
        <v>1</v>
      </c>
      <c r="B1" s="65" t="s">
        <v>123</v>
      </c>
      <c r="C1" s="66"/>
      <c r="D1" s="67"/>
    </row>
    <row r="2" spans="1:4" x14ac:dyDescent="0.25">
      <c r="A2" s="64">
        <v>2</v>
      </c>
      <c r="B2" s="65" t="s">
        <v>144</v>
      </c>
      <c r="C2" s="66"/>
      <c r="D2" s="67"/>
    </row>
    <row r="3" spans="1:4" x14ac:dyDescent="0.25">
      <c r="A3" s="64">
        <v>3</v>
      </c>
      <c r="B3" s="65" t="s">
        <v>145</v>
      </c>
      <c r="C3" s="66"/>
      <c r="D3" s="67"/>
    </row>
    <row r="4" spans="1:4" x14ac:dyDescent="0.25">
      <c r="A4" s="64">
        <v>4</v>
      </c>
      <c r="B4" s="65" t="s">
        <v>146</v>
      </c>
      <c r="C4" s="66"/>
      <c r="D4" s="67"/>
    </row>
    <row r="5" spans="1:4" x14ac:dyDescent="0.25">
      <c r="A5" s="64">
        <v>5</v>
      </c>
      <c r="B5" s="65" t="s">
        <v>147</v>
      </c>
      <c r="C5" s="68"/>
      <c r="D5" s="67"/>
    </row>
    <row r="6" spans="1:4" x14ac:dyDescent="0.25">
      <c r="A6" s="64">
        <v>6</v>
      </c>
      <c r="B6" s="65" t="s">
        <v>147</v>
      </c>
      <c r="C6" s="66"/>
      <c r="D6" s="67"/>
    </row>
    <row r="7" spans="1:4" x14ac:dyDescent="0.25">
      <c r="A7" s="64">
        <v>7</v>
      </c>
      <c r="B7" s="65" t="s">
        <v>147</v>
      </c>
      <c r="C7" s="66"/>
      <c r="D7" s="67"/>
    </row>
    <row r="8" spans="1:4" x14ac:dyDescent="0.25">
      <c r="A8" s="64">
        <v>8</v>
      </c>
      <c r="B8" s="65" t="s">
        <v>148</v>
      </c>
      <c r="C8" s="66"/>
      <c r="D8" s="67"/>
    </row>
    <row r="9" spans="1:4" x14ac:dyDescent="0.25">
      <c r="A9" s="64">
        <v>9</v>
      </c>
      <c r="B9" s="65" t="s">
        <v>149</v>
      </c>
      <c r="C9" s="69"/>
      <c r="D9" s="67" t="s">
        <v>50</v>
      </c>
    </row>
    <row r="10" spans="1:4" x14ac:dyDescent="0.25">
      <c r="A10" s="64">
        <v>11</v>
      </c>
      <c r="B10" s="65" t="s">
        <v>150</v>
      </c>
      <c r="C10" s="69"/>
      <c r="D10" s="67" t="s">
        <v>50</v>
      </c>
    </row>
    <row r="11" spans="1:4" x14ac:dyDescent="0.25">
      <c r="A11" s="64">
        <v>12</v>
      </c>
      <c r="B11" s="65" t="s">
        <v>151</v>
      </c>
      <c r="C11" s="69"/>
      <c r="D11" s="67" t="s">
        <v>50</v>
      </c>
    </row>
    <row r="12" spans="1:4" x14ac:dyDescent="0.25">
      <c r="A12" s="64">
        <v>13</v>
      </c>
      <c r="B12" s="65" t="s">
        <v>152</v>
      </c>
      <c r="C12" s="69"/>
      <c r="D12" s="67" t="s">
        <v>50</v>
      </c>
    </row>
    <row r="13" spans="1:4" x14ac:dyDescent="0.25">
      <c r="A13" s="64">
        <v>14</v>
      </c>
      <c r="B13" s="65" t="s">
        <v>153</v>
      </c>
      <c r="C13" s="69"/>
      <c r="D13" s="67" t="s">
        <v>50</v>
      </c>
    </row>
    <row r="14" spans="1:4" ht="30" x14ac:dyDescent="0.25">
      <c r="A14" s="64">
        <v>15</v>
      </c>
      <c r="B14" s="65" t="s">
        <v>154</v>
      </c>
      <c r="C14" s="69"/>
      <c r="D14" s="67" t="s">
        <v>50</v>
      </c>
    </row>
    <row r="15" spans="1:4" ht="30" x14ac:dyDescent="0.25">
      <c r="A15" s="64">
        <v>16</v>
      </c>
      <c r="B15" s="65" t="s">
        <v>155</v>
      </c>
      <c r="C15" s="69"/>
      <c r="D15" s="67" t="s">
        <v>50</v>
      </c>
    </row>
    <row r="16" spans="1:4" x14ac:dyDescent="0.25">
      <c r="A16" s="64">
        <v>17</v>
      </c>
      <c r="B16" s="65" t="s">
        <v>156</v>
      </c>
      <c r="C16" s="69"/>
      <c r="D16" s="67" t="s">
        <v>50</v>
      </c>
    </row>
    <row r="17" spans="1:6" ht="30" x14ac:dyDescent="0.25">
      <c r="A17" s="64">
        <v>18</v>
      </c>
      <c r="B17" s="65" t="s">
        <v>157</v>
      </c>
      <c r="C17" s="69"/>
      <c r="D17" s="67" t="s">
        <v>50</v>
      </c>
    </row>
    <row r="18" spans="1:6" ht="30" x14ac:dyDescent="0.25">
      <c r="A18" s="64">
        <v>19</v>
      </c>
      <c r="B18" s="65" t="s">
        <v>158</v>
      </c>
      <c r="C18" s="69"/>
      <c r="D18" s="67" t="s">
        <v>50</v>
      </c>
    </row>
    <row r="20" spans="1:6" x14ac:dyDescent="0.25">
      <c r="B20" s="70" t="s">
        <v>159</v>
      </c>
    </row>
    <row r="26" spans="1:6" x14ac:dyDescent="0.25">
      <c r="F26" s="63" t="s">
        <v>160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D8CFA62-092D-4066-9772-E8A7D8303959}">
          <x14:formula1>
            <xm:f>apoio!$F$2:$F$39</xm:f>
          </x14:formula1>
          <xm:sqref>C9</xm:sqref>
        </x14:dataValidation>
        <x14:dataValidation type="list" allowBlank="1" showInputMessage="1" showErrorMessage="1" xr:uid="{D347E6CC-665D-450B-8E83-99C666BB7754}">
          <x14:formula1>
            <xm:f>apoio!$I$2:$I$14</xm:f>
          </x14:formula1>
          <xm:sqref>C11</xm:sqref>
        </x14:dataValidation>
        <x14:dataValidation type="list" allowBlank="1" showInputMessage="1" showErrorMessage="1" xr:uid="{EDDE4164-0FDC-4CFB-A03E-0769DA2264F9}">
          <x14:formula1>
            <xm:f>'Tabelas de Referência'!$H$2:$H$19</xm:f>
          </x14:formula1>
          <xm:sqref>C10</xm:sqref>
        </x14:dataValidation>
        <x14:dataValidation type="list" allowBlank="1" showInputMessage="1" showErrorMessage="1" xr:uid="{66847BB1-52C5-4618-BAED-86D9E83388A2}">
          <x14:formula1>
            <xm:f>'Tabelas de Referência'!$G$2:$G$29</xm:f>
          </x14:formula1>
          <xm:sqref>C12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19EF4-DCDE-4DC4-B39C-22AF381D9F91}">
  <sheetPr codeName="Planilha2">
    <tabColor rgb="FF00B050"/>
  </sheetPr>
  <dimension ref="A2:K28"/>
  <sheetViews>
    <sheetView showGridLines="0" zoomScale="55" zoomScaleNormal="55" workbookViewId="0"/>
  </sheetViews>
  <sheetFormatPr defaultRowHeight="15" x14ac:dyDescent="0.25"/>
  <cols>
    <col min="1" max="1" width="5" bestFit="1" customWidth="1"/>
    <col min="2" max="2" width="108.7109375" style="25" bestFit="1" customWidth="1"/>
    <col min="3" max="3" width="34" customWidth="1"/>
    <col min="4" max="4" width="14.7109375" bestFit="1" customWidth="1"/>
    <col min="5" max="5" width="22.28515625" bestFit="1" customWidth="1"/>
    <col min="6" max="6" width="22.140625" bestFit="1" customWidth="1"/>
    <col min="7" max="7" width="10.5703125" bestFit="1" customWidth="1"/>
    <col min="8" max="8" width="16.28515625" bestFit="1" customWidth="1"/>
    <col min="9" max="9" width="20.7109375" bestFit="1" customWidth="1"/>
    <col min="10" max="10" width="10.5703125" bestFit="1" customWidth="1"/>
    <col min="11" max="11" width="15.28515625" bestFit="1" customWidth="1"/>
  </cols>
  <sheetData>
    <row r="2" spans="1:11" ht="26.25" x14ac:dyDescent="0.25">
      <c r="A2" s="79" t="s">
        <v>161</v>
      </c>
      <c r="B2" s="79"/>
      <c r="C2" s="79"/>
      <c r="D2" s="79"/>
      <c r="E2" s="79"/>
      <c r="F2" s="79"/>
      <c r="G2" s="79"/>
      <c r="H2" s="79"/>
      <c r="I2" s="79"/>
      <c r="J2" s="79"/>
      <c r="K2" s="79"/>
    </row>
    <row r="3" spans="1:11" ht="26.25" x14ac:dyDescent="0.25">
      <c r="A3" s="48" t="s">
        <v>116</v>
      </c>
      <c r="B3" s="48" t="s">
        <v>162</v>
      </c>
      <c r="C3" s="49" t="s">
        <v>163</v>
      </c>
      <c r="D3" s="49" t="s">
        <v>164</v>
      </c>
      <c r="E3" s="49" t="s">
        <v>165</v>
      </c>
      <c r="F3" s="49" t="s">
        <v>166</v>
      </c>
      <c r="G3" s="49" t="s">
        <v>167</v>
      </c>
      <c r="H3" s="49" t="s">
        <v>168</v>
      </c>
      <c r="I3" s="49" t="s">
        <v>169</v>
      </c>
      <c r="J3" s="49" t="s">
        <v>170</v>
      </c>
      <c r="K3" s="49" t="s">
        <v>171</v>
      </c>
    </row>
    <row r="4" spans="1:11" ht="26.25" x14ac:dyDescent="0.25">
      <c r="A4" s="50">
        <v>1</v>
      </c>
      <c r="B4" s="39"/>
      <c r="C4" s="40"/>
      <c r="D4" s="40"/>
      <c r="E4" s="40"/>
      <c r="F4" s="40"/>
      <c r="G4" s="40"/>
      <c r="H4" s="40"/>
      <c r="I4" s="41"/>
      <c r="J4" s="42"/>
      <c r="K4" s="42"/>
    </row>
    <row r="5" spans="1:11" ht="26.25" x14ac:dyDescent="0.25">
      <c r="A5" s="50">
        <v>2</v>
      </c>
      <c r="B5" s="39"/>
      <c r="C5" s="40"/>
      <c r="D5" s="40"/>
      <c r="E5" s="40"/>
      <c r="F5" s="40"/>
      <c r="G5" s="40"/>
      <c r="H5" s="40"/>
      <c r="I5" s="41"/>
      <c r="J5" s="42"/>
      <c r="K5" s="42"/>
    </row>
    <row r="6" spans="1:11" ht="26.25" x14ac:dyDescent="0.25">
      <c r="A6" s="50">
        <v>3</v>
      </c>
      <c r="B6" s="39"/>
      <c r="C6" s="40"/>
      <c r="D6" s="40"/>
      <c r="E6" s="40"/>
      <c r="F6" s="40"/>
      <c r="G6" s="40"/>
      <c r="H6" s="39"/>
      <c r="I6" s="41"/>
      <c r="J6" s="42"/>
      <c r="K6" s="42"/>
    </row>
    <row r="7" spans="1:11" ht="26.25" x14ac:dyDescent="0.25">
      <c r="A7" s="50">
        <v>4</v>
      </c>
      <c r="B7" s="39"/>
      <c r="C7" s="40"/>
      <c r="D7" s="40"/>
      <c r="E7" s="40"/>
      <c r="F7" s="40"/>
      <c r="G7" s="40"/>
      <c r="H7" s="40"/>
      <c r="I7" s="41"/>
      <c r="J7" s="42"/>
      <c r="K7" s="42"/>
    </row>
    <row r="8" spans="1:11" ht="26.25" x14ac:dyDescent="0.25">
      <c r="A8" s="50">
        <v>5</v>
      </c>
      <c r="B8" s="39"/>
      <c r="C8" s="40"/>
      <c r="D8" s="40"/>
      <c r="E8" s="40"/>
      <c r="F8" s="40"/>
      <c r="G8" s="40"/>
      <c r="H8" s="40"/>
      <c r="I8" s="41"/>
      <c r="J8" s="42"/>
      <c r="K8" s="42"/>
    </row>
    <row r="9" spans="1:11" ht="26.25" x14ac:dyDescent="0.25">
      <c r="A9" s="50">
        <v>6</v>
      </c>
      <c r="B9" s="39"/>
      <c r="C9" s="40"/>
      <c r="D9" s="40"/>
      <c r="E9" s="40"/>
      <c r="F9" s="40"/>
      <c r="G9" s="40"/>
      <c r="H9" s="40"/>
      <c r="I9" s="41"/>
      <c r="J9" s="42"/>
      <c r="K9" s="42"/>
    </row>
    <row r="10" spans="1:11" ht="26.25" x14ac:dyDescent="0.25">
      <c r="A10" s="50">
        <v>7</v>
      </c>
      <c r="B10" s="39"/>
      <c r="C10" s="40"/>
      <c r="D10" s="40"/>
      <c r="E10" s="40"/>
      <c r="F10" s="40"/>
      <c r="G10" s="40"/>
      <c r="H10" s="40"/>
      <c r="I10" s="41"/>
      <c r="J10" s="42"/>
      <c r="K10" s="42"/>
    </row>
    <row r="11" spans="1:11" ht="26.25" x14ac:dyDescent="0.35">
      <c r="A11" s="50">
        <v>8</v>
      </c>
      <c r="B11" s="43"/>
      <c r="C11" s="40"/>
      <c r="D11" s="40"/>
      <c r="E11" s="40"/>
      <c r="F11" s="44"/>
      <c r="G11" s="44"/>
      <c r="H11" s="44"/>
      <c r="I11" s="45"/>
      <c r="J11" s="46"/>
      <c r="K11" s="46"/>
    </row>
    <row r="12" spans="1:11" ht="26.25" x14ac:dyDescent="0.35">
      <c r="A12" s="50">
        <v>9</v>
      </c>
      <c r="B12" s="43"/>
      <c r="C12" s="40"/>
      <c r="D12" s="40"/>
      <c r="E12" s="40"/>
      <c r="F12" s="44"/>
      <c r="G12" s="44"/>
      <c r="H12" s="44"/>
      <c r="I12" s="45"/>
      <c r="J12" s="46"/>
      <c r="K12" s="46"/>
    </row>
    <row r="13" spans="1:11" ht="26.25" x14ac:dyDescent="0.35">
      <c r="A13" s="50">
        <v>10</v>
      </c>
      <c r="B13" s="43"/>
      <c r="C13" s="40"/>
      <c r="D13" s="40"/>
      <c r="E13" s="40"/>
      <c r="F13" s="44"/>
      <c r="G13" s="44"/>
      <c r="H13" s="44"/>
      <c r="I13" s="45"/>
      <c r="J13" s="46"/>
      <c r="K13" s="46"/>
    </row>
    <row r="14" spans="1:11" ht="26.25" x14ac:dyDescent="0.35">
      <c r="A14" s="50">
        <v>11</v>
      </c>
      <c r="B14" s="43"/>
      <c r="C14" s="40"/>
      <c r="D14" s="40"/>
      <c r="E14" s="40"/>
      <c r="F14" s="44"/>
      <c r="G14" s="44"/>
      <c r="H14" s="44"/>
      <c r="I14" s="45"/>
      <c r="J14" s="46"/>
      <c r="K14" s="46"/>
    </row>
    <row r="15" spans="1:11" ht="26.25" x14ac:dyDescent="0.35">
      <c r="A15" s="50">
        <v>12</v>
      </c>
      <c r="B15" s="43"/>
      <c r="C15" s="40"/>
      <c r="D15" s="40"/>
      <c r="E15" s="40"/>
      <c r="F15" s="44"/>
      <c r="G15" s="44"/>
      <c r="H15" s="44"/>
      <c r="I15" s="45"/>
      <c r="J15" s="46"/>
      <c r="K15" s="46"/>
    </row>
    <row r="16" spans="1:11" ht="26.25" x14ac:dyDescent="0.35">
      <c r="A16" s="50">
        <v>13</v>
      </c>
      <c r="B16" s="43"/>
      <c r="C16" s="40"/>
      <c r="D16" s="40"/>
      <c r="E16" s="40"/>
      <c r="F16" s="44"/>
      <c r="G16" s="44"/>
      <c r="H16" s="44"/>
      <c r="I16" s="45"/>
      <c r="J16" s="46"/>
      <c r="K16" s="46"/>
    </row>
    <row r="17" spans="1:11" ht="26.25" x14ac:dyDescent="0.35">
      <c r="A17" s="50">
        <v>14</v>
      </c>
      <c r="B17" s="43"/>
      <c r="C17" s="40"/>
      <c r="D17" s="40"/>
      <c r="E17" s="40"/>
      <c r="F17" s="44"/>
      <c r="G17" s="44"/>
      <c r="H17" s="44"/>
      <c r="I17" s="45"/>
      <c r="J17" s="46"/>
      <c r="K17" s="46"/>
    </row>
    <row r="18" spans="1:11" ht="26.25" x14ac:dyDescent="0.35">
      <c r="A18" s="50">
        <v>15</v>
      </c>
      <c r="B18" s="43"/>
      <c r="C18" s="40"/>
      <c r="D18" s="40"/>
      <c r="E18" s="40"/>
      <c r="F18" s="44"/>
      <c r="G18" s="44"/>
      <c r="H18" s="44"/>
      <c r="I18" s="45"/>
      <c r="J18" s="46"/>
      <c r="K18" s="46"/>
    </row>
    <row r="19" spans="1:11" ht="26.25" x14ac:dyDescent="0.35">
      <c r="A19" s="50">
        <v>16</v>
      </c>
      <c r="B19" s="43"/>
      <c r="C19" s="40"/>
      <c r="D19" s="40"/>
      <c r="E19" s="40"/>
      <c r="F19" s="44"/>
      <c r="G19" s="44"/>
      <c r="H19" s="44"/>
      <c r="I19" s="45"/>
      <c r="J19" s="46"/>
      <c r="K19" s="46"/>
    </row>
    <row r="20" spans="1:11" ht="26.25" x14ac:dyDescent="0.35">
      <c r="A20" s="50">
        <v>17</v>
      </c>
      <c r="B20" s="43"/>
      <c r="C20" s="40"/>
      <c r="D20" s="40"/>
      <c r="E20" s="40"/>
      <c r="F20" s="47"/>
      <c r="G20" s="47"/>
      <c r="H20" s="47"/>
      <c r="I20" s="47"/>
      <c r="J20" s="47"/>
      <c r="K20" s="47"/>
    </row>
    <row r="21" spans="1:11" ht="26.25" x14ac:dyDescent="0.35">
      <c r="A21" s="50">
        <v>18</v>
      </c>
      <c r="B21" s="43"/>
      <c r="C21" s="40"/>
      <c r="D21" s="40"/>
      <c r="E21" s="40"/>
      <c r="F21" s="47"/>
      <c r="G21" s="47"/>
      <c r="H21" s="47"/>
      <c r="I21" s="47"/>
      <c r="J21" s="47"/>
      <c r="K21" s="47"/>
    </row>
    <row r="22" spans="1:11" ht="26.25" x14ac:dyDescent="0.35">
      <c r="A22" s="50">
        <v>19</v>
      </c>
      <c r="B22" s="43"/>
      <c r="C22" s="40"/>
      <c r="D22" s="40"/>
      <c r="E22" s="40"/>
      <c r="F22" s="47"/>
      <c r="G22" s="47"/>
      <c r="H22" s="47"/>
      <c r="I22" s="47"/>
      <c r="J22" s="47"/>
      <c r="K22" s="47"/>
    </row>
    <row r="23" spans="1:11" ht="26.25" x14ac:dyDescent="0.35">
      <c r="A23" s="50">
        <v>20</v>
      </c>
      <c r="B23" s="43"/>
      <c r="C23" s="40"/>
      <c r="D23" s="40"/>
      <c r="E23" s="40"/>
      <c r="F23" s="47"/>
      <c r="G23" s="47"/>
      <c r="H23" s="47"/>
      <c r="I23" s="47"/>
      <c r="J23" s="47"/>
      <c r="K23" s="47"/>
    </row>
    <row r="24" spans="1:11" ht="26.25" x14ac:dyDescent="0.35">
      <c r="A24" s="50">
        <v>21</v>
      </c>
      <c r="B24" s="43"/>
      <c r="C24" s="40"/>
      <c r="D24" s="40"/>
      <c r="E24" s="40"/>
      <c r="F24" s="47"/>
      <c r="G24" s="47"/>
      <c r="H24" s="47"/>
      <c r="I24" s="47"/>
      <c r="J24" s="47"/>
      <c r="K24" s="47"/>
    </row>
    <row r="25" spans="1:11" ht="26.25" x14ac:dyDescent="0.35">
      <c r="A25" s="50">
        <v>22</v>
      </c>
      <c r="B25" s="43"/>
      <c r="C25" s="40"/>
      <c r="D25" s="40"/>
      <c r="E25" s="40"/>
      <c r="F25" s="47"/>
      <c r="G25" s="47"/>
      <c r="H25" s="47"/>
      <c r="I25" s="47"/>
      <c r="J25" s="47"/>
      <c r="K25" s="47"/>
    </row>
    <row r="26" spans="1:11" ht="26.25" x14ac:dyDescent="0.35">
      <c r="A26" s="50">
        <v>23</v>
      </c>
      <c r="B26" s="43"/>
      <c r="C26" s="40"/>
      <c r="D26" s="40"/>
      <c r="E26" s="40"/>
      <c r="F26" s="47"/>
      <c r="G26" s="47"/>
      <c r="H26" s="47"/>
      <c r="I26" s="47"/>
      <c r="J26" s="47"/>
      <c r="K26" s="47"/>
    </row>
    <row r="27" spans="1:11" ht="26.25" x14ac:dyDescent="0.35">
      <c r="A27" s="50">
        <v>24</v>
      </c>
      <c r="B27" s="43"/>
      <c r="C27" s="40"/>
      <c r="D27" s="40"/>
      <c r="E27" s="40"/>
      <c r="F27" s="47"/>
      <c r="G27" s="47"/>
      <c r="H27" s="47"/>
      <c r="I27" s="47"/>
      <c r="J27" s="47"/>
      <c r="K27" s="47"/>
    </row>
    <row r="28" spans="1:11" ht="26.25" x14ac:dyDescent="0.35">
      <c r="A28" s="50">
        <v>25</v>
      </c>
      <c r="B28" s="43"/>
      <c r="C28" s="40"/>
      <c r="D28" s="40"/>
      <c r="E28" s="40"/>
      <c r="F28" s="47"/>
      <c r="G28" s="47"/>
      <c r="H28" s="47"/>
      <c r="I28" s="47"/>
      <c r="J28" s="47"/>
      <c r="K28" s="47"/>
    </row>
  </sheetData>
  <mergeCells count="1">
    <mergeCell ref="A2:K2"/>
  </mergeCells>
  <dataValidations count="2">
    <dataValidation type="list" allowBlank="1" showInputMessage="1" showErrorMessage="1" sqref="C4:C28" xr:uid="{81C21FFD-FB0C-494B-BFDC-046E73502770}">
      <formula1>"Baixo,,Alto"</formula1>
    </dataValidation>
    <dataValidation type="list" allowBlank="1" showInputMessage="1" showErrorMessage="1" sqref="D4:D28" xr:uid="{C86B562C-4B1C-44F0-9D0E-2DB3807B7052}">
      <formula1>"Baixo, Alto"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27986-513A-4163-A7E8-1DBD1D690475}">
  <sheetPr codeName="Planilha7">
    <tabColor rgb="FFFFFF00"/>
  </sheetPr>
  <dimension ref="A1"/>
  <sheetViews>
    <sheetView zoomScale="80" zoomScaleNormal="80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36BB8-EA5D-4A0B-B668-637B12E4FCE6}">
  <sheetPr codeName="Planilha5">
    <tabColor rgb="FFFF0000"/>
  </sheetPr>
  <dimension ref="A1:G658"/>
  <sheetViews>
    <sheetView topLeftCell="A55" workbookViewId="0">
      <selection activeCell="E105" sqref="E105"/>
    </sheetView>
  </sheetViews>
  <sheetFormatPr defaultRowHeight="15" x14ac:dyDescent="0.25"/>
  <cols>
    <col min="1" max="1" width="6" bestFit="1" customWidth="1"/>
    <col min="2" max="2" width="8" bestFit="1" customWidth="1"/>
    <col min="3" max="3" width="4.85546875" bestFit="1" customWidth="1"/>
    <col min="4" max="4" width="45.42578125" bestFit="1" customWidth="1"/>
    <col min="5" max="5" width="48.7109375" bestFit="1" customWidth="1"/>
    <col min="6" max="6" width="20.5703125" bestFit="1" customWidth="1"/>
    <col min="7" max="7" width="15.140625" bestFit="1" customWidth="1"/>
  </cols>
  <sheetData>
    <row r="1" spans="1:7" x14ac:dyDescent="0.25">
      <c r="A1" s="1" t="s">
        <v>172</v>
      </c>
      <c r="B1" s="1" t="s">
        <v>173</v>
      </c>
      <c r="C1" s="1" t="s">
        <v>174</v>
      </c>
      <c r="D1" s="1" t="s">
        <v>59</v>
      </c>
      <c r="E1" s="1" t="s">
        <v>175</v>
      </c>
      <c r="F1" s="1" t="s">
        <v>176</v>
      </c>
      <c r="G1" s="1" t="s">
        <v>177</v>
      </c>
    </row>
    <row r="2" spans="1:7" x14ac:dyDescent="0.25">
      <c r="A2" s="1">
        <v>48069</v>
      </c>
      <c r="B2" s="1" t="s">
        <v>178</v>
      </c>
      <c r="C2" s="1" t="s">
        <v>179</v>
      </c>
      <c r="D2" s="1" t="s">
        <v>180</v>
      </c>
      <c r="E2" s="1" t="s">
        <v>181</v>
      </c>
      <c r="F2" s="1" t="s">
        <v>182</v>
      </c>
      <c r="G2" s="1" t="s">
        <v>173</v>
      </c>
    </row>
    <row r="3" spans="1:7" x14ac:dyDescent="0.25">
      <c r="A3" s="1">
        <v>48071</v>
      </c>
      <c r="B3" s="1" t="s">
        <v>178</v>
      </c>
      <c r="C3" s="1" t="s">
        <v>179</v>
      </c>
      <c r="D3" s="1" t="s">
        <v>180</v>
      </c>
      <c r="E3" s="1" t="s">
        <v>181</v>
      </c>
      <c r="F3" s="1" t="s">
        <v>183</v>
      </c>
      <c r="G3" s="1" t="s">
        <v>173</v>
      </c>
    </row>
    <row r="4" spans="1:7" x14ac:dyDescent="0.25">
      <c r="A4" s="1">
        <v>36792</v>
      </c>
      <c r="B4" s="1" t="s">
        <v>178</v>
      </c>
      <c r="C4" s="1" t="s">
        <v>179</v>
      </c>
      <c r="D4" s="1" t="s">
        <v>184</v>
      </c>
      <c r="E4" s="1" t="s">
        <v>185</v>
      </c>
      <c r="F4" s="1" t="s">
        <v>186</v>
      </c>
      <c r="G4" s="1" t="s">
        <v>173</v>
      </c>
    </row>
    <row r="5" spans="1:7" x14ac:dyDescent="0.25">
      <c r="A5" s="1">
        <v>36793</v>
      </c>
      <c r="B5" s="1" t="s">
        <v>178</v>
      </c>
      <c r="C5" s="1" t="s">
        <v>179</v>
      </c>
      <c r="D5" s="1" t="s">
        <v>184</v>
      </c>
      <c r="E5" s="1" t="s">
        <v>185</v>
      </c>
      <c r="F5" s="1" t="s">
        <v>187</v>
      </c>
      <c r="G5" s="1" t="s">
        <v>173</v>
      </c>
    </row>
    <row r="6" spans="1:7" x14ac:dyDescent="0.25">
      <c r="A6" s="1">
        <v>36803</v>
      </c>
      <c r="B6" s="1" t="s">
        <v>178</v>
      </c>
      <c r="C6" s="1" t="s">
        <v>179</v>
      </c>
      <c r="D6" s="1" t="s">
        <v>188</v>
      </c>
      <c r="E6" s="1" t="s">
        <v>189</v>
      </c>
      <c r="F6" s="1" t="s">
        <v>190</v>
      </c>
      <c r="G6" s="1" t="s">
        <v>173</v>
      </c>
    </row>
    <row r="7" spans="1:7" x14ac:dyDescent="0.25">
      <c r="A7" s="1">
        <v>36804</v>
      </c>
      <c r="B7" s="1" t="s">
        <v>178</v>
      </c>
      <c r="C7" s="1" t="s">
        <v>179</v>
      </c>
      <c r="D7" s="1" t="s">
        <v>188</v>
      </c>
      <c r="E7" s="1" t="s">
        <v>189</v>
      </c>
      <c r="F7" s="1" t="s">
        <v>191</v>
      </c>
      <c r="G7" s="1" t="s">
        <v>173</v>
      </c>
    </row>
    <row r="8" spans="1:7" x14ac:dyDescent="0.25">
      <c r="A8" s="1">
        <v>36796</v>
      </c>
      <c r="B8" s="1" t="s">
        <v>178</v>
      </c>
      <c r="C8" s="1" t="s">
        <v>179</v>
      </c>
      <c r="D8" s="1" t="s">
        <v>188</v>
      </c>
      <c r="E8" s="1" t="s">
        <v>192</v>
      </c>
      <c r="F8" s="1" t="s">
        <v>193</v>
      </c>
      <c r="G8" s="1" t="s">
        <v>173</v>
      </c>
    </row>
    <row r="9" spans="1:7" x14ac:dyDescent="0.25">
      <c r="A9" s="1">
        <v>36798</v>
      </c>
      <c r="B9" s="1" t="s">
        <v>178</v>
      </c>
      <c r="C9" s="1" t="s">
        <v>179</v>
      </c>
      <c r="D9" s="1" t="s">
        <v>188</v>
      </c>
      <c r="E9" s="1" t="s">
        <v>192</v>
      </c>
      <c r="F9" s="1" t="s">
        <v>194</v>
      </c>
      <c r="G9" s="1" t="s">
        <v>173</v>
      </c>
    </row>
    <row r="10" spans="1:7" x14ac:dyDescent="0.25">
      <c r="A10" s="1">
        <v>36800</v>
      </c>
      <c r="B10" s="1" t="s">
        <v>178</v>
      </c>
      <c r="C10" s="1" t="s">
        <v>179</v>
      </c>
      <c r="D10" s="1" t="s">
        <v>188</v>
      </c>
      <c r="E10" s="1" t="s">
        <v>195</v>
      </c>
      <c r="F10" s="1" t="s">
        <v>196</v>
      </c>
      <c r="G10" s="1" t="s">
        <v>173</v>
      </c>
    </row>
    <row r="11" spans="1:7" x14ac:dyDescent="0.25">
      <c r="A11" s="1">
        <v>36801</v>
      </c>
      <c r="B11" s="1" t="s">
        <v>178</v>
      </c>
      <c r="C11" s="1" t="s">
        <v>179</v>
      </c>
      <c r="D11" s="1" t="s">
        <v>188</v>
      </c>
      <c r="E11" s="1" t="s">
        <v>195</v>
      </c>
      <c r="F11" s="1" t="s">
        <v>197</v>
      </c>
      <c r="G11" s="1" t="s">
        <v>173</v>
      </c>
    </row>
    <row r="12" spans="1:7" x14ac:dyDescent="0.25">
      <c r="A12" s="1">
        <v>37106</v>
      </c>
      <c r="B12" s="1" t="s">
        <v>178</v>
      </c>
      <c r="C12" s="1" t="s">
        <v>179</v>
      </c>
      <c r="D12" s="1" t="s">
        <v>188</v>
      </c>
      <c r="E12" s="1" t="s">
        <v>198</v>
      </c>
      <c r="F12" s="1" t="s">
        <v>199</v>
      </c>
      <c r="G12" s="1" t="s">
        <v>173</v>
      </c>
    </row>
    <row r="13" spans="1:7" x14ac:dyDescent="0.25">
      <c r="A13" s="1">
        <v>37107</v>
      </c>
      <c r="B13" s="1" t="s">
        <v>178</v>
      </c>
      <c r="C13" s="1" t="s">
        <v>179</v>
      </c>
      <c r="D13" s="1" t="s">
        <v>188</v>
      </c>
      <c r="E13" s="1" t="s">
        <v>198</v>
      </c>
      <c r="F13" s="1" t="s">
        <v>200</v>
      </c>
      <c r="G13" s="1" t="s">
        <v>173</v>
      </c>
    </row>
    <row r="14" spans="1:7" x14ac:dyDescent="0.25">
      <c r="A14" s="1">
        <v>36807</v>
      </c>
      <c r="B14" s="1" t="s">
        <v>178</v>
      </c>
      <c r="C14" s="1" t="s">
        <v>179</v>
      </c>
      <c r="D14" s="1" t="s">
        <v>201</v>
      </c>
      <c r="E14" s="1" t="s">
        <v>202</v>
      </c>
      <c r="F14" s="1" t="s">
        <v>203</v>
      </c>
      <c r="G14" s="1" t="s">
        <v>173</v>
      </c>
    </row>
    <row r="15" spans="1:7" x14ac:dyDescent="0.25">
      <c r="A15" s="1">
        <v>36808</v>
      </c>
      <c r="B15" s="1" t="s">
        <v>178</v>
      </c>
      <c r="C15" s="1" t="s">
        <v>179</v>
      </c>
      <c r="D15" s="1" t="s">
        <v>201</v>
      </c>
      <c r="E15" s="1" t="s">
        <v>202</v>
      </c>
      <c r="F15" s="1" t="s">
        <v>204</v>
      </c>
      <c r="G15" s="1" t="s">
        <v>173</v>
      </c>
    </row>
    <row r="16" spans="1:7" x14ac:dyDescent="0.25">
      <c r="A16" s="1">
        <v>36809</v>
      </c>
      <c r="B16" s="1" t="s">
        <v>178</v>
      </c>
      <c r="C16" s="1" t="s">
        <v>179</v>
      </c>
      <c r="D16" s="1" t="s">
        <v>201</v>
      </c>
      <c r="E16" s="1" t="s">
        <v>202</v>
      </c>
      <c r="F16" s="1" t="s">
        <v>205</v>
      </c>
      <c r="G16" s="1" t="s">
        <v>173</v>
      </c>
    </row>
    <row r="17" spans="1:7" x14ac:dyDescent="0.25">
      <c r="A17" s="1">
        <v>36812</v>
      </c>
      <c r="B17" s="1" t="s">
        <v>178</v>
      </c>
      <c r="C17" s="1" t="s">
        <v>179</v>
      </c>
      <c r="D17" s="1" t="s">
        <v>206</v>
      </c>
      <c r="E17" s="1" t="s">
        <v>207</v>
      </c>
      <c r="F17" s="1" t="s">
        <v>208</v>
      </c>
      <c r="G17" s="1" t="s">
        <v>173</v>
      </c>
    </row>
    <row r="18" spans="1:7" x14ac:dyDescent="0.25">
      <c r="A18" s="1">
        <v>36813</v>
      </c>
      <c r="B18" s="1" t="s">
        <v>178</v>
      </c>
      <c r="C18" s="1" t="s">
        <v>179</v>
      </c>
      <c r="D18" s="1" t="s">
        <v>206</v>
      </c>
      <c r="E18" s="1" t="s">
        <v>207</v>
      </c>
      <c r="F18" s="1" t="s">
        <v>209</v>
      </c>
      <c r="G18" s="1" t="s">
        <v>173</v>
      </c>
    </row>
    <row r="19" spans="1:7" x14ac:dyDescent="0.25">
      <c r="A19" s="1">
        <v>36814</v>
      </c>
      <c r="B19" s="1" t="s">
        <v>178</v>
      </c>
      <c r="C19" s="1" t="s">
        <v>179</v>
      </c>
      <c r="D19" s="1" t="s">
        <v>206</v>
      </c>
      <c r="E19" s="1" t="s">
        <v>207</v>
      </c>
      <c r="F19" s="1" t="s">
        <v>210</v>
      </c>
      <c r="G19" s="1" t="s">
        <v>173</v>
      </c>
    </row>
    <row r="20" spans="1:7" x14ac:dyDescent="0.25">
      <c r="A20" s="1">
        <v>36815</v>
      </c>
      <c r="B20" s="1" t="s">
        <v>178</v>
      </c>
      <c r="C20" s="1" t="s">
        <v>179</v>
      </c>
      <c r="D20" s="1" t="s">
        <v>206</v>
      </c>
      <c r="E20" s="1" t="s">
        <v>207</v>
      </c>
      <c r="F20" s="1" t="s">
        <v>211</v>
      </c>
      <c r="G20" s="1" t="s">
        <v>173</v>
      </c>
    </row>
    <row r="21" spans="1:7" x14ac:dyDescent="0.25">
      <c r="A21" s="1">
        <v>36817</v>
      </c>
      <c r="B21" s="1" t="s">
        <v>178</v>
      </c>
      <c r="C21" s="1" t="s">
        <v>179</v>
      </c>
      <c r="D21" s="1" t="s">
        <v>206</v>
      </c>
      <c r="E21" s="1" t="s">
        <v>212</v>
      </c>
      <c r="F21" s="1" t="s">
        <v>213</v>
      </c>
      <c r="G21" s="1" t="s">
        <v>173</v>
      </c>
    </row>
    <row r="22" spans="1:7" x14ac:dyDescent="0.25">
      <c r="A22" s="1">
        <v>36818</v>
      </c>
      <c r="B22" s="1" t="s">
        <v>178</v>
      </c>
      <c r="C22" s="1" t="s">
        <v>179</v>
      </c>
      <c r="D22" s="1" t="s">
        <v>206</v>
      </c>
      <c r="E22" s="1" t="s">
        <v>212</v>
      </c>
      <c r="F22" s="1" t="s">
        <v>214</v>
      </c>
      <c r="G22" s="1" t="s">
        <v>173</v>
      </c>
    </row>
    <row r="23" spans="1:7" x14ac:dyDescent="0.25">
      <c r="A23" s="1">
        <v>36819</v>
      </c>
      <c r="B23" s="1" t="s">
        <v>178</v>
      </c>
      <c r="C23" s="1" t="s">
        <v>179</v>
      </c>
      <c r="D23" s="1" t="s">
        <v>206</v>
      </c>
      <c r="E23" s="1" t="s">
        <v>212</v>
      </c>
      <c r="F23" s="1" t="s">
        <v>215</v>
      </c>
      <c r="G23" s="1" t="s">
        <v>173</v>
      </c>
    </row>
    <row r="24" spans="1:7" x14ac:dyDescent="0.25">
      <c r="A24" s="1">
        <v>39899</v>
      </c>
      <c r="B24" s="1" t="s">
        <v>178</v>
      </c>
      <c r="C24" s="1" t="s">
        <v>179</v>
      </c>
      <c r="D24" s="1" t="s">
        <v>216</v>
      </c>
      <c r="E24" s="1" t="s">
        <v>217</v>
      </c>
      <c r="F24" s="1" t="s">
        <v>218</v>
      </c>
      <c r="G24" s="1" t="s">
        <v>173</v>
      </c>
    </row>
    <row r="25" spans="1:7" x14ac:dyDescent="0.25">
      <c r="A25" s="1">
        <v>36822</v>
      </c>
      <c r="B25" s="1" t="s">
        <v>178</v>
      </c>
      <c r="C25" s="1" t="s">
        <v>179</v>
      </c>
      <c r="D25" s="1" t="s">
        <v>216</v>
      </c>
      <c r="E25" s="1" t="s">
        <v>217</v>
      </c>
      <c r="F25" s="1" t="s">
        <v>219</v>
      </c>
      <c r="G25" s="1" t="s">
        <v>173</v>
      </c>
    </row>
    <row r="26" spans="1:7" x14ac:dyDescent="0.25">
      <c r="A26" s="1">
        <v>36823</v>
      </c>
      <c r="B26" s="1" t="s">
        <v>178</v>
      </c>
      <c r="C26" s="1" t="s">
        <v>179</v>
      </c>
      <c r="D26" s="1" t="s">
        <v>216</v>
      </c>
      <c r="E26" s="1" t="s">
        <v>217</v>
      </c>
      <c r="F26" s="1" t="s">
        <v>220</v>
      </c>
      <c r="G26" s="1" t="s">
        <v>173</v>
      </c>
    </row>
    <row r="27" spans="1:7" x14ac:dyDescent="0.25">
      <c r="A27" s="1">
        <v>58553</v>
      </c>
      <c r="B27" s="1" t="s">
        <v>178</v>
      </c>
      <c r="C27" s="1" t="s">
        <v>179</v>
      </c>
      <c r="D27" s="1" t="s">
        <v>216</v>
      </c>
      <c r="E27" s="1" t="s">
        <v>221</v>
      </c>
      <c r="F27" s="1" t="s">
        <v>222</v>
      </c>
      <c r="G27" s="1" t="s">
        <v>173</v>
      </c>
    </row>
    <row r="28" spans="1:7" x14ac:dyDescent="0.25">
      <c r="A28" s="1">
        <v>58554</v>
      </c>
      <c r="B28" s="1" t="s">
        <v>178</v>
      </c>
      <c r="C28" s="1" t="s">
        <v>179</v>
      </c>
      <c r="D28" s="1" t="s">
        <v>216</v>
      </c>
      <c r="E28" s="1" t="s">
        <v>221</v>
      </c>
      <c r="F28" s="1" t="s">
        <v>223</v>
      </c>
      <c r="G28" s="1" t="s">
        <v>173</v>
      </c>
    </row>
    <row r="29" spans="1:7" x14ac:dyDescent="0.25">
      <c r="A29" s="1">
        <v>58555</v>
      </c>
      <c r="B29" s="1" t="s">
        <v>178</v>
      </c>
      <c r="C29" s="1" t="s">
        <v>179</v>
      </c>
      <c r="D29" s="1" t="s">
        <v>216</v>
      </c>
      <c r="E29" s="1" t="s">
        <v>224</v>
      </c>
      <c r="F29" s="1" t="s">
        <v>225</v>
      </c>
      <c r="G29" s="1" t="s">
        <v>173</v>
      </c>
    </row>
    <row r="30" spans="1:7" x14ac:dyDescent="0.25">
      <c r="A30" s="1">
        <v>58556</v>
      </c>
      <c r="B30" s="1" t="s">
        <v>178</v>
      </c>
      <c r="C30" s="1" t="s">
        <v>179</v>
      </c>
      <c r="D30" s="1" t="s">
        <v>216</v>
      </c>
      <c r="E30" s="1" t="s">
        <v>224</v>
      </c>
      <c r="F30" s="1" t="s">
        <v>226</v>
      </c>
      <c r="G30" s="1" t="s">
        <v>173</v>
      </c>
    </row>
    <row r="31" spans="1:7" x14ac:dyDescent="0.25">
      <c r="A31" s="1">
        <v>58557</v>
      </c>
      <c r="B31" s="1" t="s">
        <v>178</v>
      </c>
      <c r="C31" s="1" t="s">
        <v>179</v>
      </c>
      <c r="D31" s="1" t="s">
        <v>216</v>
      </c>
      <c r="E31" s="1" t="s">
        <v>224</v>
      </c>
      <c r="F31" s="1" t="s">
        <v>227</v>
      </c>
      <c r="G31" s="1" t="s">
        <v>173</v>
      </c>
    </row>
    <row r="32" spans="1:7" x14ac:dyDescent="0.25">
      <c r="A32" s="1">
        <v>36826</v>
      </c>
      <c r="B32" s="1" t="s">
        <v>178</v>
      </c>
      <c r="C32" s="1" t="s">
        <v>179</v>
      </c>
      <c r="D32" s="1" t="s">
        <v>228</v>
      </c>
      <c r="E32" s="1" t="s">
        <v>229</v>
      </c>
      <c r="F32" s="1" t="s">
        <v>230</v>
      </c>
      <c r="G32" s="1" t="s">
        <v>173</v>
      </c>
    </row>
    <row r="33" spans="1:7" x14ac:dyDescent="0.25">
      <c r="A33" s="1">
        <v>36827</v>
      </c>
      <c r="B33" s="1" t="s">
        <v>178</v>
      </c>
      <c r="C33" s="1" t="s">
        <v>179</v>
      </c>
      <c r="D33" s="1" t="s">
        <v>228</v>
      </c>
      <c r="E33" s="1" t="s">
        <v>229</v>
      </c>
      <c r="F33" s="1" t="s">
        <v>231</v>
      </c>
      <c r="G33" s="1" t="s">
        <v>173</v>
      </c>
    </row>
    <row r="34" spans="1:7" x14ac:dyDescent="0.25">
      <c r="A34" s="1">
        <v>36828</v>
      </c>
      <c r="B34" s="1" t="s">
        <v>178</v>
      </c>
      <c r="C34" s="1" t="s">
        <v>179</v>
      </c>
      <c r="D34" s="1" t="s">
        <v>228</v>
      </c>
      <c r="E34" s="1" t="s">
        <v>229</v>
      </c>
      <c r="F34" s="1" t="s">
        <v>232</v>
      </c>
      <c r="G34" s="1" t="s">
        <v>173</v>
      </c>
    </row>
    <row r="35" spans="1:7" x14ac:dyDescent="0.25">
      <c r="A35" s="1">
        <v>36829</v>
      </c>
      <c r="B35" s="1" t="s">
        <v>178</v>
      </c>
      <c r="C35" s="1" t="s">
        <v>179</v>
      </c>
      <c r="D35" s="1" t="s">
        <v>228</v>
      </c>
      <c r="E35" s="1" t="s">
        <v>229</v>
      </c>
      <c r="F35" s="1" t="s">
        <v>233</v>
      </c>
      <c r="G35" s="1" t="s">
        <v>173</v>
      </c>
    </row>
    <row r="36" spans="1:7" x14ac:dyDescent="0.25">
      <c r="A36" s="1">
        <v>43283</v>
      </c>
      <c r="B36" s="1" t="s">
        <v>178</v>
      </c>
      <c r="C36" s="1" t="s">
        <v>179</v>
      </c>
      <c r="D36" s="1" t="s">
        <v>228</v>
      </c>
      <c r="E36" s="1" t="s">
        <v>234</v>
      </c>
      <c r="F36" s="1" t="s">
        <v>235</v>
      </c>
      <c r="G36" s="1" t="s">
        <v>173</v>
      </c>
    </row>
    <row r="37" spans="1:7" x14ac:dyDescent="0.25">
      <c r="A37" s="1">
        <v>36832</v>
      </c>
      <c r="B37" s="1" t="s">
        <v>178</v>
      </c>
      <c r="C37" s="1" t="s">
        <v>179</v>
      </c>
      <c r="D37" s="1" t="s">
        <v>228</v>
      </c>
      <c r="E37" s="1" t="s">
        <v>234</v>
      </c>
      <c r="F37" s="1" t="s">
        <v>236</v>
      </c>
      <c r="G37" s="1" t="s">
        <v>173</v>
      </c>
    </row>
    <row r="38" spans="1:7" x14ac:dyDescent="0.25">
      <c r="A38" s="1">
        <v>48081</v>
      </c>
      <c r="B38" s="1" t="s">
        <v>178</v>
      </c>
      <c r="C38" s="1" t="s">
        <v>179</v>
      </c>
      <c r="D38" s="1" t="s">
        <v>228</v>
      </c>
      <c r="E38" s="1" t="s">
        <v>237</v>
      </c>
      <c r="F38" s="1" t="s">
        <v>238</v>
      </c>
      <c r="G38" s="1" t="s">
        <v>173</v>
      </c>
    </row>
    <row r="39" spans="1:7" x14ac:dyDescent="0.25">
      <c r="A39" s="1">
        <v>48489</v>
      </c>
      <c r="B39" s="1" t="s">
        <v>178</v>
      </c>
      <c r="C39" s="1" t="s">
        <v>179</v>
      </c>
      <c r="D39" s="1" t="s">
        <v>228</v>
      </c>
      <c r="E39" s="1" t="s">
        <v>237</v>
      </c>
      <c r="F39" s="1" t="s">
        <v>239</v>
      </c>
      <c r="G39" s="1" t="s">
        <v>173</v>
      </c>
    </row>
    <row r="40" spans="1:7" x14ac:dyDescent="0.25">
      <c r="A40" s="1">
        <v>48082</v>
      </c>
      <c r="B40" s="1" t="s">
        <v>178</v>
      </c>
      <c r="C40" s="1" t="s">
        <v>179</v>
      </c>
      <c r="D40" s="1" t="s">
        <v>228</v>
      </c>
      <c r="E40" s="1" t="s">
        <v>240</v>
      </c>
      <c r="F40" s="1" t="s">
        <v>241</v>
      </c>
      <c r="G40" s="1" t="s">
        <v>173</v>
      </c>
    </row>
    <row r="41" spans="1:7" x14ac:dyDescent="0.25">
      <c r="A41" s="1">
        <v>48492</v>
      </c>
      <c r="B41" s="1" t="s">
        <v>178</v>
      </c>
      <c r="C41" s="1" t="s">
        <v>179</v>
      </c>
      <c r="D41" s="1" t="s">
        <v>228</v>
      </c>
      <c r="E41" s="1" t="s">
        <v>240</v>
      </c>
      <c r="F41" s="1" t="s">
        <v>242</v>
      </c>
      <c r="G41" s="1" t="s">
        <v>173</v>
      </c>
    </row>
    <row r="42" spans="1:7" x14ac:dyDescent="0.25">
      <c r="A42" s="1">
        <v>36838</v>
      </c>
      <c r="B42" s="1" t="s">
        <v>178</v>
      </c>
      <c r="C42" s="1" t="s">
        <v>179</v>
      </c>
      <c r="D42" s="1" t="s">
        <v>243</v>
      </c>
      <c r="E42" s="1" t="s">
        <v>244</v>
      </c>
      <c r="F42" s="1" t="s">
        <v>245</v>
      </c>
      <c r="G42" s="1" t="s">
        <v>173</v>
      </c>
    </row>
    <row r="43" spans="1:7" x14ac:dyDescent="0.25">
      <c r="A43" s="1">
        <v>36839</v>
      </c>
      <c r="B43" s="1" t="s">
        <v>178</v>
      </c>
      <c r="C43" s="1" t="s">
        <v>179</v>
      </c>
      <c r="D43" s="1" t="s">
        <v>243</v>
      </c>
      <c r="E43" s="1" t="s">
        <v>244</v>
      </c>
      <c r="F43" s="1" t="s">
        <v>246</v>
      </c>
      <c r="G43" s="1" t="s">
        <v>173</v>
      </c>
    </row>
    <row r="44" spans="1:7" x14ac:dyDescent="0.25">
      <c r="A44" s="1">
        <v>36835</v>
      </c>
      <c r="B44" s="1" t="s">
        <v>178</v>
      </c>
      <c r="C44" s="1" t="s">
        <v>179</v>
      </c>
      <c r="D44" s="1" t="s">
        <v>243</v>
      </c>
      <c r="E44" s="1" t="s">
        <v>247</v>
      </c>
      <c r="F44" s="1" t="s">
        <v>248</v>
      </c>
      <c r="G44" s="1" t="s">
        <v>173</v>
      </c>
    </row>
    <row r="45" spans="1:7" x14ac:dyDescent="0.25">
      <c r="A45" s="1">
        <v>36836</v>
      </c>
      <c r="B45" s="1" t="s">
        <v>178</v>
      </c>
      <c r="C45" s="1" t="s">
        <v>179</v>
      </c>
      <c r="D45" s="1" t="s">
        <v>243</v>
      </c>
      <c r="E45" s="1" t="s">
        <v>247</v>
      </c>
      <c r="F45" s="1" t="s">
        <v>249</v>
      </c>
      <c r="G45" s="1" t="s">
        <v>173</v>
      </c>
    </row>
    <row r="46" spans="1:7" x14ac:dyDescent="0.25">
      <c r="A46" s="1">
        <v>36845</v>
      </c>
      <c r="B46" s="1" t="s">
        <v>178</v>
      </c>
      <c r="C46" s="1" t="s">
        <v>179</v>
      </c>
      <c r="D46" s="1" t="s">
        <v>250</v>
      </c>
      <c r="E46" s="1" t="s">
        <v>251</v>
      </c>
      <c r="F46" s="1" t="s">
        <v>252</v>
      </c>
      <c r="G46" s="1" t="s">
        <v>173</v>
      </c>
    </row>
    <row r="47" spans="1:7" x14ac:dyDescent="0.25">
      <c r="A47" s="1">
        <v>36848</v>
      </c>
      <c r="B47" s="1" t="s">
        <v>178</v>
      </c>
      <c r="C47" s="1" t="s">
        <v>179</v>
      </c>
      <c r="D47" s="1" t="s">
        <v>60</v>
      </c>
      <c r="E47" s="1" t="s">
        <v>253</v>
      </c>
      <c r="F47" s="1" t="s">
        <v>254</v>
      </c>
      <c r="G47" s="1" t="s">
        <v>173</v>
      </c>
    </row>
    <row r="48" spans="1:7" x14ac:dyDescent="0.25">
      <c r="A48" s="1">
        <v>36849</v>
      </c>
      <c r="B48" s="1" t="s">
        <v>178</v>
      </c>
      <c r="C48" s="1" t="s">
        <v>179</v>
      </c>
      <c r="D48" s="1" t="s">
        <v>60</v>
      </c>
      <c r="E48" s="1" t="s">
        <v>253</v>
      </c>
      <c r="F48" s="1" t="s">
        <v>255</v>
      </c>
      <c r="G48" s="1" t="s">
        <v>173</v>
      </c>
    </row>
    <row r="49" spans="1:7" x14ac:dyDescent="0.25">
      <c r="A49" s="1">
        <v>36850</v>
      </c>
      <c r="B49" s="1" t="s">
        <v>178</v>
      </c>
      <c r="C49" s="1" t="s">
        <v>179</v>
      </c>
      <c r="D49" s="1" t="s">
        <v>60</v>
      </c>
      <c r="E49" s="1" t="s">
        <v>253</v>
      </c>
      <c r="F49" s="1" t="s">
        <v>256</v>
      </c>
      <c r="G49" s="1" t="s">
        <v>173</v>
      </c>
    </row>
    <row r="50" spans="1:7" x14ac:dyDescent="0.25">
      <c r="A50" s="1">
        <v>36851</v>
      </c>
      <c r="B50" s="1" t="s">
        <v>178</v>
      </c>
      <c r="C50" s="1" t="s">
        <v>179</v>
      </c>
      <c r="D50" s="1" t="s">
        <v>60</v>
      </c>
      <c r="E50" s="1" t="s">
        <v>253</v>
      </c>
      <c r="F50" s="1" t="s">
        <v>257</v>
      </c>
      <c r="G50" s="1" t="s">
        <v>173</v>
      </c>
    </row>
    <row r="51" spans="1:7" x14ac:dyDescent="0.25">
      <c r="A51" s="1">
        <v>36854</v>
      </c>
      <c r="B51" s="1" t="s">
        <v>178</v>
      </c>
      <c r="C51" s="1" t="s">
        <v>179</v>
      </c>
      <c r="D51" s="1" t="s">
        <v>258</v>
      </c>
      <c r="E51" s="1" t="s">
        <v>259</v>
      </c>
      <c r="F51" s="1" t="s">
        <v>260</v>
      </c>
      <c r="G51" s="1" t="s">
        <v>173</v>
      </c>
    </row>
    <row r="52" spans="1:7" x14ac:dyDescent="0.25">
      <c r="A52" s="1">
        <v>36863</v>
      </c>
      <c r="B52" s="1" t="s">
        <v>178</v>
      </c>
      <c r="C52" s="1" t="s">
        <v>179</v>
      </c>
      <c r="D52" s="1" t="s">
        <v>261</v>
      </c>
      <c r="E52" s="1" t="s">
        <v>262</v>
      </c>
      <c r="F52" s="1" t="s">
        <v>263</v>
      </c>
      <c r="G52" s="1" t="s">
        <v>173</v>
      </c>
    </row>
    <row r="53" spans="1:7" x14ac:dyDescent="0.25">
      <c r="A53" s="1">
        <v>36864</v>
      </c>
      <c r="B53" s="1" t="s">
        <v>178</v>
      </c>
      <c r="C53" s="1" t="s">
        <v>179</v>
      </c>
      <c r="D53" s="1" t="s">
        <v>261</v>
      </c>
      <c r="E53" s="1" t="s">
        <v>262</v>
      </c>
      <c r="F53" s="1" t="s">
        <v>264</v>
      </c>
      <c r="G53" s="1" t="s">
        <v>173</v>
      </c>
    </row>
    <row r="54" spans="1:7" x14ac:dyDescent="0.25">
      <c r="A54" s="1">
        <v>36865</v>
      </c>
      <c r="B54" s="1" t="s">
        <v>178</v>
      </c>
      <c r="C54" s="1" t="s">
        <v>179</v>
      </c>
      <c r="D54" s="1" t="s">
        <v>261</v>
      </c>
      <c r="E54" s="1" t="s">
        <v>262</v>
      </c>
      <c r="F54" s="1" t="s">
        <v>265</v>
      </c>
      <c r="G54" s="1" t="s">
        <v>173</v>
      </c>
    </row>
    <row r="55" spans="1:7" x14ac:dyDescent="0.25">
      <c r="A55" s="1">
        <v>36873</v>
      </c>
      <c r="B55" s="1" t="s">
        <v>178</v>
      </c>
      <c r="C55" s="1" t="s">
        <v>179</v>
      </c>
      <c r="D55" s="1" t="s">
        <v>261</v>
      </c>
      <c r="E55" s="1" t="s">
        <v>266</v>
      </c>
      <c r="F55" s="1" t="s">
        <v>267</v>
      </c>
      <c r="G55" s="1" t="s">
        <v>173</v>
      </c>
    </row>
    <row r="56" spans="1:7" x14ac:dyDescent="0.25">
      <c r="A56" s="1">
        <v>36874</v>
      </c>
      <c r="B56" s="1" t="s">
        <v>178</v>
      </c>
      <c r="C56" s="1" t="s">
        <v>179</v>
      </c>
      <c r="D56" s="1" t="s">
        <v>261</v>
      </c>
      <c r="E56" s="1" t="s">
        <v>266</v>
      </c>
      <c r="F56" s="1" t="s">
        <v>268</v>
      </c>
      <c r="G56" s="1" t="s">
        <v>173</v>
      </c>
    </row>
    <row r="57" spans="1:7" x14ac:dyDescent="0.25">
      <c r="A57" s="1">
        <v>36857</v>
      </c>
      <c r="B57" s="1" t="s">
        <v>178</v>
      </c>
      <c r="C57" s="1" t="s">
        <v>179</v>
      </c>
      <c r="D57" s="1" t="s">
        <v>261</v>
      </c>
      <c r="E57" s="1" t="s">
        <v>269</v>
      </c>
      <c r="F57" s="1" t="s">
        <v>270</v>
      </c>
      <c r="G57" s="1" t="s">
        <v>173</v>
      </c>
    </row>
    <row r="58" spans="1:7" x14ac:dyDescent="0.25">
      <c r="A58" s="1">
        <v>36858</v>
      </c>
      <c r="B58" s="1" t="s">
        <v>178</v>
      </c>
      <c r="C58" s="1" t="s">
        <v>179</v>
      </c>
      <c r="D58" s="1" t="s">
        <v>261</v>
      </c>
      <c r="E58" s="1" t="s">
        <v>269</v>
      </c>
      <c r="F58" s="1" t="s">
        <v>271</v>
      </c>
      <c r="G58" s="1" t="s">
        <v>173</v>
      </c>
    </row>
    <row r="59" spans="1:7" x14ac:dyDescent="0.25">
      <c r="A59" s="1">
        <v>36867</v>
      </c>
      <c r="B59" s="1" t="s">
        <v>178</v>
      </c>
      <c r="C59" s="1" t="s">
        <v>179</v>
      </c>
      <c r="D59" s="1" t="s">
        <v>261</v>
      </c>
      <c r="E59" s="1" t="s">
        <v>272</v>
      </c>
      <c r="F59" s="1" t="s">
        <v>273</v>
      </c>
      <c r="G59" s="1" t="s">
        <v>173</v>
      </c>
    </row>
    <row r="60" spans="1:7" x14ac:dyDescent="0.25">
      <c r="A60" s="1">
        <v>36868</v>
      </c>
      <c r="B60" s="1" t="s">
        <v>178</v>
      </c>
      <c r="C60" s="1" t="s">
        <v>179</v>
      </c>
      <c r="D60" s="1" t="s">
        <v>261</v>
      </c>
      <c r="E60" s="1" t="s">
        <v>272</v>
      </c>
      <c r="F60" s="1" t="s">
        <v>274</v>
      </c>
      <c r="G60" s="1" t="s">
        <v>173</v>
      </c>
    </row>
    <row r="61" spans="1:7" x14ac:dyDescent="0.25">
      <c r="A61" s="1">
        <v>36869</v>
      </c>
      <c r="B61" s="1" t="s">
        <v>178</v>
      </c>
      <c r="C61" s="1" t="s">
        <v>179</v>
      </c>
      <c r="D61" s="1" t="s">
        <v>261</v>
      </c>
      <c r="E61" s="1" t="s">
        <v>272</v>
      </c>
      <c r="F61" s="1" t="s">
        <v>275</v>
      </c>
      <c r="G61" s="1" t="s">
        <v>173</v>
      </c>
    </row>
    <row r="62" spans="1:7" x14ac:dyDescent="0.25">
      <c r="A62" s="1">
        <v>36870</v>
      </c>
      <c r="B62" s="1" t="s">
        <v>178</v>
      </c>
      <c r="C62" s="1" t="s">
        <v>179</v>
      </c>
      <c r="D62" s="1" t="s">
        <v>261</v>
      </c>
      <c r="E62" s="1" t="s">
        <v>272</v>
      </c>
      <c r="F62" s="1" t="s">
        <v>276</v>
      </c>
      <c r="G62" s="1" t="s">
        <v>173</v>
      </c>
    </row>
    <row r="63" spans="1:7" x14ac:dyDescent="0.25">
      <c r="A63" s="1">
        <v>36871</v>
      </c>
      <c r="B63" s="1" t="s">
        <v>178</v>
      </c>
      <c r="C63" s="1" t="s">
        <v>179</v>
      </c>
      <c r="D63" s="1" t="s">
        <v>261</v>
      </c>
      <c r="E63" s="1" t="s">
        <v>272</v>
      </c>
      <c r="F63" s="1" t="s">
        <v>277</v>
      </c>
      <c r="G63" s="1" t="s">
        <v>173</v>
      </c>
    </row>
    <row r="64" spans="1:7" x14ac:dyDescent="0.25">
      <c r="A64" s="1">
        <v>36876</v>
      </c>
      <c r="B64" s="1" t="s">
        <v>178</v>
      </c>
      <c r="C64" s="1" t="s">
        <v>179</v>
      </c>
      <c r="D64" s="1" t="s">
        <v>261</v>
      </c>
      <c r="E64" s="1" t="s">
        <v>278</v>
      </c>
      <c r="F64" s="1" t="s">
        <v>279</v>
      </c>
      <c r="G64" s="1" t="s">
        <v>173</v>
      </c>
    </row>
    <row r="65" spans="1:7" x14ac:dyDescent="0.25">
      <c r="A65" s="1">
        <v>36877</v>
      </c>
      <c r="B65" s="1" t="s">
        <v>178</v>
      </c>
      <c r="C65" s="1" t="s">
        <v>179</v>
      </c>
      <c r="D65" s="1" t="s">
        <v>261</v>
      </c>
      <c r="E65" s="1" t="s">
        <v>278</v>
      </c>
      <c r="F65" s="1" t="s">
        <v>280</v>
      </c>
      <c r="G65" s="1" t="s">
        <v>173</v>
      </c>
    </row>
    <row r="66" spans="1:7" x14ac:dyDescent="0.25">
      <c r="A66" s="1">
        <v>36860</v>
      </c>
      <c r="B66" s="1" t="s">
        <v>178</v>
      </c>
      <c r="C66" s="1" t="s">
        <v>179</v>
      </c>
      <c r="D66" s="1" t="s">
        <v>261</v>
      </c>
      <c r="E66" s="1" t="s">
        <v>281</v>
      </c>
      <c r="F66" s="1" t="s">
        <v>282</v>
      </c>
      <c r="G66" s="1" t="s">
        <v>173</v>
      </c>
    </row>
    <row r="67" spans="1:7" x14ac:dyDescent="0.25">
      <c r="A67" s="1">
        <v>36861</v>
      </c>
      <c r="B67" s="1" t="s">
        <v>178</v>
      </c>
      <c r="C67" s="1" t="s">
        <v>179</v>
      </c>
      <c r="D67" s="1" t="s">
        <v>261</v>
      </c>
      <c r="E67" s="1" t="s">
        <v>281</v>
      </c>
      <c r="F67" s="1" t="s">
        <v>283</v>
      </c>
      <c r="G67" s="1" t="s">
        <v>173</v>
      </c>
    </row>
    <row r="68" spans="1:7" x14ac:dyDescent="0.25">
      <c r="A68" s="1">
        <v>36895</v>
      </c>
      <c r="B68" s="1" t="s">
        <v>178</v>
      </c>
      <c r="C68" s="1" t="s">
        <v>179</v>
      </c>
      <c r="D68" s="1" t="s">
        <v>284</v>
      </c>
      <c r="E68" s="1" t="s">
        <v>285</v>
      </c>
      <c r="F68" s="1" t="s">
        <v>286</v>
      </c>
      <c r="G68" s="1" t="s">
        <v>173</v>
      </c>
    </row>
    <row r="69" spans="1:7" x14ac:dyDescent="0.25">
      <c r="A69" s="1">
        <v>36897</v>
      </c>
      <c r="B69" s="1" t="s">
        <v>178</v>
      </c>
      <c r="C69" s="1" t="s">
        <v>179</v>
      </c>
      <c r="D69" s="1" t="s">
        <v>284</v>
      </c>
      <c r="E69" s="1" t="s">
        <v>285</v>
      </c>
      <c r="F69" s="1" t="s">
        <v>287</v>
      </c>
      <c r="G69" s="1" t="s">
        <v>173</v>
      </c>
    </row>
    <row r="70" spans="1:7" x14ac:dyDescent="0.25">
      <c r="A70" s="1">
        <v>36898</v>
      </c>
      <c r="B70" s="1" t="s">
        <v>178</v>
      </c>
      <c r="C70" s="1" t="s">
        <v>179</v>
      </c>
      <c r="D70" s="1" t="s">
        <v>284</v>
      </c>
      <c r="E70" s="1" t="s">
        <v>285</v>
      </c>
      <c r="F70" s="1" t="s">
        <v>288</v>
      </c>
      <c r="G70" s="1" t="s">
        <v>173</v>
      </c>
    </row>
    <row r="71" spans="1:7" x14ac:dyDescent="0.25">
      <c r="A71" s="1">
        <v>36899</v>
      </c>
      <c r="B71" s="1" t="s">
        <v>178</v>
      </c>
      <c r="C71" s="1" t="s">
        <v>179</v>
      </c>
      <c r="D71" s="1" t="s">
        <v>284</v>
      </c>
      <c r="E71" s="1" t="s">
        <v>285</v>
      </c>
      <c r="F71" s="1" t="s">
        <v>289</v>
      </c>
      <c r="G71" s="1" t="s">
        <v>173</v>
      </c>
    </row>
    <row r="72" spans="1:7" x14ac:dyDescent="0.25">
      <c r="A72" s="1">
        <v>36925</v>
      </c>
      <c r="B72" s="1" t="s">
        <v>178</v>
      </c>
      <c r="C72" s="1" t="s">
        <v>179</v>
      </c>
      <c r="D72" s="1" t="s">
        <v>290</v>
      </c>
      <c r="E72" s="1" t="s">
        <v>291</v>
      </c>
      <c r="F72" s="1" t="s">
        <v>292</v>
      </c>
      <c r="G72" s="1" t="s">
        <v>173</v>
      </c>
    </row>
    <row r="73" spans="1:7" x14ac:dyDescent="0.25">
      <c r="A73" s="1">
        <v>36928</v>
      </c>
      <c r="B73" s="1" t="s">
        <v>178</v>
      </c>
      <c r="C73" s="1" t="s">
        <v>179</v>
      </c>
      <c r="D73" s="1" t="s">
        <v>293</v>
      </c>
      <c r="E73" s="1" t="s">
        <v>294</v>
      </c>
      <c r="F73" s="1" t="s">
        <v>295</v>
      </c>
      <c r="G73" s="1" t="s">
        <v>173</v>
      </c>
    </row>
    <row r="74" spans="1:7" x14ac:dyDescent="0.25">
      <c r="A74" s="1">
        <v>36929</v>
      </c>
      <c r="B74" s="1" t="s">
        <v>178</v>
      </c>
      <c r="C74" s="1" t="s">
        <v>179</v>
      </c>
      <c r="D74" s="1" t="s">
        <v>293</v>
      </c>
      <c r="E74" s="1" t="s">
        <v>294</v>
      </c>
      <c r="F74" s="1" t="s">
        <v>296</v>
      </c>
      <c r="G74" s="1" t="s">
        <v>173</v>
      </c>
    </row>
    <row r="75" spans="1:7" x14ac:dyDescent="0.25">
      <c r="A75" s="1">
        <v>36936</v>
      </c>
      <c r="B75" s="1" t="s">
        <v>178</v>
      </c>
      <c r="C75" s="1" t="s">
        <v>179</v>
      </c>
      <c r="D75" s="1" t="s">
        <v>297</v>
      </c>
      <c r="E75" s="1" t="s">
        <v>298</v>
      </c>
      <c r="F75" s="1" t="s">
        <v>299</v>
      </c>
      <c r="G75" s="1" t="s">
        <v>173</v>
      </c>
    </row>
    <row r="76" spans="1:7" x14ac:dyDescent="0.25">
      <c r="A76" s="1">
        <v>36937</v>
      </c>
      <c r="B76" s="1" t="s">
        <v>178</v>
      </c>
      <c r="C76" s="1" t="s">
        <v>179</v>
      </c>
      <c r="D76" s="1" t="s">
        <v>297</v>
      </c>
      <c r="E76" s="1" t="s">
        <v>298</v>
      </c>
      <c r="F76" s="1" t="s">
        <v>300</v>
      </c>
      <c r="G76" s="1" t="s">
        <v>173</v>
      </c>
    </row>
    <row r="77" spans="1:7" x14ac:dyDescent="0.25">
      <c r="A77" s="1">
        <v>36932</v>
      </c>
      <c r="B77" s="1" t="s">
        <v>178</v>
      </c>
      <c r="C77" s="1" t="s">
        <v>179</v>
      </c>
      <c r="D77" s="1" t="s">
        <v>297</v>
      </c>
      <c r="E77" s="1" t="s">
        <v>301</v>
      </c>
      <c r="F77" s="1" t="s">
        <v>302</v>
      </c>
      <c r="G77" s="1" t="s">
        <v>173</v>
      </c>
    </row>
    <row r="78" spans="1:7" x14ac:dyDescent="0.25">
      <c r="A78" s="1">
        <v>36933</v>
      </c>
      <c r="B78" s="1" t="s">
        <v>178</v>
      </c>
      <c r="C78" s="1" t="s">
        <v>179</v>
      </c>
      <c r="D78" s="1" t="s">
        <v>297</v>
      </c>
      <c r="E78" s="1" t="s">
        <v>301</v>
      </c>
      <c r="F78" s="1" t="s">
        <v>303</v>
      </c>
      <c r="G78" s="1" t="s">
        <v>173</v>
      </c>
    </row>
    <row r="79" spans="1:7" x14ac:dyDescent="0.25">
      <c r="A79" s="1">
        <v>36934</v>
      </c>
      <c r="B79" s="1" t="s">
        <v>178</v>
      </c>
      <c r="C79" s="1" t="s">
        <v>179</v>
      </c>
      <c r="D79" s="1" t="s">
        <v>297</v>
      </c>
      <c r="E79" s="1" t="s">
        <v>301</v>
      </c>
      <c r="F79" s="1" t="s">
        <v>304</v>
      </c>
      <c r="G79" s="1" t="s">
        <v>173</v>
      </c>
    </row>
    <row r="80" spans="1:7" x14ac:dyDescent="0.25">
      <c r="A80" s="1">
        <v>36945</v>
      </c>
      <c r="B80" s="1" t="s">
        <v>178</v>
      </c>
      <c r="C80" s="1" t="s">
        <v>179</v>
      </c>
      <c r="D80" s="1" t="s">
        <v>297</v>
      </c>
      <c r="E80" s="1" t="s">
        <v>305</v>
      </c>
      <c r="F80" s="1" t="s">
        <v>306</v>
      </c>
      <c r="G80" s="1" t="s">
        <v>173</v>
      </c>
    </row>
    <row r="81" spans="1:7" x14ac:dyDescent="0.25">
      <c r="A81" s="1">
        <v>36946</v>
      </c>
      <c r="B81" s="1" t="s">
        <v>178</v>
      </c>
      <c r="C81" s="1" t="s">
        <v>179</v>
      </c>
      <c r="D81" s="1" t="s">
        <v>297</v>
      </c>
      <c r="E81" s="1" t="s">
        <v>305</v>
      </c>
      <c r="F81" s="1" t="s">
        <v>307</v>
      </c>
      <c r="G81" s="1" t="s">
        <v>173</v>
      </c>
    </row>
    <row r="82" spans="1:7" x14ac:dyDescent="0.25">
      <c r="A82" s="1">
        <v>49567</v>
      </c>
      <c r="B82" s="1" t="s">
        <v>178</v>
      </c>
      <c r="C82" s="1" t="s">
        <v>179</v>
      </c>
      <c r="D82" s="1" t="s">
        <v>297</v>
      </c>
      <c r="E82" s="1" t="s">
        <v>308</v>
      </c>
      <c r="F82" s="1" t="s">
        <v>309</v>
      </c>
      <c r="G82" s="1" t="s">
        <v>173</v>
      </c>
    </row>
    <row r="83" spans="1:7" x14ac:dyDescent="0.25">
      <c r="A83" s="1">
        <v>49568</v>
      </c>
      <c r="B83" s="1" t="s">
        <v>178</v>
      </c>
      <c r="C83" s="1" t="s">
        <v>179</v>
      </c>
      <c r="D83" s="1" t="s">
        <v>297</v>
      </c>
      <c r="E83" s="1" t="s">
        <v>308</v>
      </c>
      <c r="F83" s="1" t="s">
        <v>310</v>
      </c>
      <c r="G83" s="1" t="s">
        <v>173</v>
      </c>
    </row>
    <row r="84" spans="1:7" x14ac:dyDescent="0.25">
      <c r="A84" s="1">
        <v>36939</v>
      </c>
      <c r="B84" s="1" t="s">
        <v>178</v>
      </c>
      <c r="C84" s="1" t="s">
        <v>179</v>
      </c>
      <c r="D84" s="1" t="s">
        <v>297</v>
      </c>
      <c r="E84" s="1" t="s">
        <v>311</v>
      </c>
      <c r="F84" s="1" t="s">
        <v>312</v>
      </c>
      <c r="G84" s="1" t="s">
        <v>173</v>
      </c>
    </row>
    <row r="85" spans="1:7" x14ac:dyDescent="0.25">
      <c r="A85" s="1">
        <v>36948</v>
      </c>
      <c r="B85" s="1" t="s">
        <v>178</v>
      </c>
      <c r="C85" s="1" t="s">
        <v>179</v>
      </c>
      <c r="D85" s="1" t="s">
        <v>297</v>
      </c>
      <c r="E85" s="1" t="s">
        <v>311</v>
      </c>
      <c r="F85" s="1" t="s">
        <v>313</v>
      </c>
      <c r="G85" s="1" t="s">
        <v>173</v>
      </c>
    </row>
    <row r="86" spans="1:7" x14ac:dyDescent="0.25">
      <c r="A86" s="1">
        <v>36950</v>
      </c>
      <c r="B86" s="1" t="s">
        <v>178</v>
      </c>
      <c r="C86" s="1" t="s">
        <v>179</v>
      </c>
      <c r="D86" s="1" t="s">
        <v>297</v>
      </c>
      <c r="E86" s="1" t="s">
        <v>311</v>
      </c>
      <c r="F86" s="1" t="s">
        <v>314</v>
      </c>
      <c r="G86" s="1" t="s">
        <v>173</v>
      </c>
    </row>
    <row r="87" spans="1:7" x14ac:dyDescent="0.25">
      <c r="A87" s="1">
        <v>36982</v>
      </c>
      <c r="B87" s="1" t="s">
        <v>178</v>
      </c>
      <c r="C87" s="1" t="s">
        <v>179</v>
      </c>
      <c r="D87" s="1" t="s">
        <v>297</v>
      </c>
      <c r="E87" s="1" t="s">
        <v>315</v>
      </c>
      <c r="F87" s="1" t="s">
        <v>316</v>
      </c>
      <c r="G87" s="1" t="s">
        <v>173</v>
      </c>
    </row>
    <row r="88" spans="1:7" x14ac:dyDescent="0.25">
      <c r="A88" s="1">
        <v>36984</v>
      </c>
      <c r="B88" s="1" t="s">
        <v>178</v>
      </c>
      <c r="C88" s="1" t="s">
        <v>179</v>
      </c>
      <c r="D88" s="1" t="s">
        <v>297</v>
      </c>
      <c r="E88" s="1" t="s">
        <v>315</v>
      </c>
      <c r="F88" s="1" t="s">
        <v>317</v>
      </c>
      <c r="G88" s="1" t="s">
        <v>173</v>
      </c>
    </row>
    <row r="89" spans="1:7" x14ac:dyDescent="0.25">
      <c r="A89" s="1">
        <v>36985</v>
      </c>
      <c r="B89" s="1" t="s">
        <v>178</v>
      </c>
      <c r="C89" s="1" t="s">
        <v>179</v>
      </c>
      <c r="D89" s="1" t="s">
        <v>297</v>
      </c>
      <c r="E89" s="1" t="s">
        <v>315</v>
      </c>
      <c r="F89" s="1" t="s">
        <v>318</v>
      </c>
      <c r="G89" s="1" t="s">
        <v>173</v>
      </c>
    </row>
    <row r="90" spans="1:7" x14ac:dyDescent="0.25">
      <c r="A90" s="1">
        <v>36987</v>
      </c>
      <c r="B90" s="1" t="s">
        <v>178</v>
      </c>
      <c r="C90" s="1" t="s">
        <v>179</v>
      </c>
      <c r="D90" s="1" t="s">
        <v>297</v>
      </c>
      <c r="E90" s="1" t="s">
        <v>315</v>
      </c>
      <c r="F90" s="1" t="s">
        <v>319</v>
      </c>
      <c r="G90" s="1" t="s">
        <v>173</v>
      </c>
    </row>
    <row r="91" spans="1:7" x14ac:dyDescent="0.25">
      <c r="A91" s="1">
        <v>36991</v>
      </c>
      <c r="B91" s="1" t="s">
        <v>178</v>
      </c>
      <c r="C91" s="1" t="s">
        <v>179</v>
      </c>
      <c r="D91" s="1" t="s">
        <v>297</v>
      </c>
      <c r="E91" s="1" t="s">
        <v>315</v>
      </c>
      <c r="F91" s="1" t="s">
        <v>320</v>
      </c>
      <c r="G91" s="1" t="s">
        <v>173</v>
      </c>
    </row>
    <row r="92" spans="1:7" x14ac:dyDescent="0.25">
      <c r="A92" s="1">
        <v>36997</v>
      </c>
      <c r="B92" s="1" t="s">
        <v>178</v>
      </c>
      <c r="C92" s="1" t="s">
        <v>179</v>
      </c>
      <c r="D92" s="1" t="s">
        <v>321</v>
      </c>
      <c r="E92" s="1" t="s">
        <v>322</v>
      </c>
      <c r="F92" s="1" t="s">
        <v>323</v>
      </c>
      <c r="G92" s="1" t="s">
        <v>173</v>
      </c>
    </row>
    <row r="93" spans="1:7" x14ac:dyDescent="0.25">
      <c r="A93" s="1">
        <v>36998</v>
      </c>
      <c r="B93" s="1" t="s">
        <v>178</v>
      </c>
      <c r="C93" s="1" t="s">
        <v>179</v>
      </c>
      <c r="D93" s="1" t="s">
        <v>321</v>
      </c>
      <c r="E93" s="1" t="s">
        <v>322</v>
      </c>
      <c r="F93" s="1" t="s">
        <v>324</v>
      </c>
      <c r="G93" s="1" t="s">
        <v>173</v>
      </c>
    </row>
    <row r="94" spans="1:7" x14ac:dyDescent="0.25">
      <c r="A94" s="1">
        <v>37001</v>
      </c>
      <c r="B94" s="1" t="s">
        <v>178</v>
      </c>
      <c r="C94" s="1" t="s">
        <v>179</v>
      </c>
      <c r="D94" s="1" t="s">
        <v>325</v>
      </c>
      <c r="E94" s="1" t="s">
        <v>326</v>
      </c>
      <c r="F94" s="1" t="s">
        <v>327</v>
      </c>
      <c r="G94" s="1" t="s">
        <v>173</v>
      </c>
    </row>
    <row r="95" spans="1:7" x14ac:dyDescent="0.25">
      <c r="A95" s="1">
        <v>37002</v>
      </c>
      <c r="B95" s="1" t="s">
        <v>178</v>
      </c>
      <c r="C95" s="1" t="s">
        <v>179</v>
      </c>
      <c r="D95" s="1" t="s">
        <v>325</v>
      </c>
      <c r="E95" s="1" t="s">
        <v>326</v>
      </c>
      <c r="F95" s="1" t="s">
        <v>328</v>
      </c>
      <c r="G95" s="1" t="s">
        <v>173</v>
      </c>
    </row>
    <row r="96" spans="1:7" x14ac:dyDescent="0.25">
      <c r="A96" s="1">
        <v>37003</v>
      </c>
      <c r="B96" s="1" t="s">
        <v>178</v>
      </c>
      <c r="C96" s="1" t="s">
        <v>179</v>
      </c>
      <c r="D96" s="1" t="s">
        <v>325</v>
      </c>
      <c r="E96" s="1" t="s">
        <v>326</v>
      </c>
      <c r="F96" s="1" t="s">
        <v>329</v>
      </c>
      <c r="G96" s="1" t="s">
        <v>173</v>
      </c>
    </row>
    <row r="97" spans="1:7" x14ac:dyDescent="0.25">
      <c r="A97" s="1">
        <v>37005</v>
      </c>
      <c r="B97" s="1" t="s">
        <v>178</v>
      </c>
      <c r="C97" s="1" t="s">
        <v>179</v>
      </c>
      <c r="D97" s="1" t="s">
        <v>325</v>
      </c>
      <c r="E97" s="1" t="s">
        <v>330</v>
      </c>
      <c r="F97" s="1" t="s">
        <v>331</v>
      </c>
      <c r="G97" s="1" t="s">
        <v>173</v>
      </c>
    </row>
    <row r="98" spans="1:7" x14ac:dyDescent="0.25">
      <c r="A98" s="1">
        <v>37006</v>
      </c>
      <c r="B98" s="1" t="s">
        <v>178</v>
      </c>
      <c r="C98" s="1" t="s">
        <v>179</v>
      </c>
      <c r="D98" s="1" t="s">
        <v>325</v>
      </c>
      <c r="E98" s="1" t="s">
        <v>330</v>
      </c>
      <c r="F98" s="1" t="s">
        <v>332</v>
      </c>
      <c r="G98" s="1" t="s">
        <v>173</v>
      </c>
    </row>
    <row r="99" spans="1:7" x14ac:dyDescent="0.25">
      <c r="A99" s="1">
        <v>37007</v>
      </c>
      <c r="B99" s="1" t="s">
        <v>178</v>
      </c>
      <c r="C99" s="1" t="s">
        <v>179</v>
      </c>
      <c r="D99" s="1" t="s">
        <v>325</v>
      </c>
      <c r="E99" s="1" t="s">
        <v>330</v>
      </c>
      <c r="F99" s="1" t="s">
        <v>333</v>
      </c>
      <c r="G99" s="1" t="s">
        <v>173</v>
      </c>
    </row>
    <row r="100" spans="1:7" x14ac:dyDescent="0.25">
      <c r="A100" s="1">
        <v>44349</v>
      </c>
      <c r="B100" s="1" t="s">
        <v>178</v>
      </c>
      <c r="C100" s="1" t="s">
        <v>179</v>
      </c>
      <c r="D100" s="1" t="s">
        <v>334</v>
      </c>
      <c r="E100" s="1" t="s">
        <v>335</v>
      </c>
      <c r="F100" s="1" t="s">
        <v>336</v>
      </c>
      <c r="G100" s="1" t="s">
        <v>173</v>
      </c>
    </row>
    <row r="101" spans="1:7" x14ac:dyDescent="0.25">
      <c r="A101" s="1">
        <v>37017</v>
      </c>
      <c r="B101" s="1" t="s">
        <v>178</v>
      </c>
      <c r="C101" s="1" t="s">
        <v>179</v>
      </c>
      <c r="D101" s="1" t="s">
        <v>334</v>
      </c>
      <c r="E101" s="1" t="s">
        <v>335</v>
      </c>
      <c r="F101" s="1" t="s">
        <v>337</v>
      </c>
      <c r="G101" s="1" t="s">
        <v>173</v>
      </c>
    </row>
    <row r="102" spans="1:7" x14ac:dyDescent="0.25">
      <c r="A102" s="1">
        <v>37019</v>
      </c>
      <c r="B102" s="1" t="s">
        <v>178</v>
      </c>
      <c r="C102" s="1" t="s">
        <v>179</v>
      </c>
      <c r="D102" s="1" t="s">
        <v>334</v>
      </c>
      <c r="E102" s="1" t="s">
        <v>338</v>
      </c>
      <c r="F102" s="1" t="s">
        <v>339</v>
      </c>
      <c r="G102" s="1" t="s">
        <v>173</v>
      </c>
    </row>
    <row r="103" spans="1:7" x14ac:dyDescent="0.25">
      <c r="A103" s="1">
        <v>37020</v>
      </c>
      <c r="B103" s="1" t="s">
        <v>178</v>
      </c>
      <c r="C103" s="1" t="s">
        <v>179</v>
      </c>
      <c r="D103" s="1" t="s">
        <v>334</v>
      </c>
      <c r="E103" s="1" t="s">
        <v>338</v>
      </c>
      <c r="F103" s="1" t="s">
        <v>340</v>
      </c>
      <c r="G103" s="1" t="s">
        <v>173</v>
      </c>
    </row>
    <row r="104" spans="1:7" x14ac:dyDescent="0.25">
      <c r="A104" s="1">
        <v>37021</v>
      </c>
      <c r="B104" s="1" t="s">
        <v>178</v>
      </c>
      <c r="C104" s="1" t="s">
        <v>179</v>
      </c>
      <c r="D104" s="1" t="s">
        <v>334</v>
      </c>
      <c r="E104" s="1" t="s">
        <v>338</v>
      </c>
      <c r="F104" s="1" t="s">
        <v>341</v>
      </c>
      <c r="G104" s="1" t="s">
        <v>173</v>
      </c>
    </row>
    <row r="105" spans="1:7" x14ac:dyDescent="0.25">
      <c r="A105" s="1">
        <v>37022</v>
      </c>
      <c r="B105" s="1" t="s">
        <v>178</v>
      </c>
      <c r="C105" s="1" t="s">
        <v>179</v>
      </c>
      <c r="D105" s="1" t="s">
        <v>334</v>
      </c>
      <c r="E105" s="1" t="s">
        <v>338</v>
      </c>
      <c r="F105" s="1" t="s">
        <v>342</v>
      </c>
      <c r="G105" s="1" t="s">
        <v>173</v>
      </c>
    </row>
    <row r="106" spans="1:7" x14ac:dyDescent="0.25">
      <c r="A106" s="1">
        <v>37056</v>
      </c>
      <c r="B106" s="1" t="s">
        <v>178</v>
      </c>
      <c r="C106" s="1" t="s">
        <v>179</v>
      </c>
      <c r="D106" s="1" t="s">
        <v>343</v>
      </c>
      <c r="E106" s="1" t="s">
        <v>344</v>
      </c>
      <c r="F106" s="1" t="s">
        <v>345</v>
      </c>
      <c r="G106" s="1" t="s">
        <v>173</v>
      </c>
    </row>
    <row r="107" spans="1:7" x14ac:dyDescent="0.25">
      <c r="A107" s="1">
        <v>37058</v>
      </c>
      <c r="B107" s="1" t="s">
        <v>178</v>
      </c>
      <c r="C107" s="1" t="s">
        <v>179</v>
      </c>
      <c r="D107" s="1" t="s">
        <v>343</v>
      </c>
      <c r="E107" s="1" t="s">
        <v>346</v>
      </c>
      <c r="F107" s="1" t="s">
        <v>347</v>
      </c>
      <c r="G107" s="1" t="s">
        <v>173</v>
      </c>
    </row>
    <row r="108" spans="1:7" x14ac:dyDescent="0.25">
      <c r="A108" s="1">
        <v>48001</v>
      </c>
      <c r="B108" s="1" t="s">
        <v>178</v>
      </c>
      <c r="C108" s="1" t="s">
        <v>179</v>
      </c>
      <c r="D108" s="1" t="s">
        <v>348</v>
      </c>
      <c r="E108" s="1" t="s">
        <v>349</v>
      </c>
      <c r="F108" s="1" t="s">
        <v>350</v>
      </c>
      <c r="G108" s="1" t="s">
        <v>173</v>
      </c>
    </row>
    <row r="109" spans="1:7" x14ac:dyDescent="0.25">
      <c r="A109" s="1">
        <v>37036</v>
      </c>
      <c r="B109" s="1" t="s">
        <v>178</v>
      </c>
      <c r="C109" s="1" t="s">
        <v>179</v>
      </c>
      <c r="D109" s="1" t="s">
        <v>351</v>
      </c>
      <c r="E109" s="1" t="s">
        <v>352</v>
      </c>
      <c r="F109" s="1" t="s">
        <v>353</v>
      </c>
      <c r="G109" s="1" t="s">
        <v>173</v>
      </c>
    </row>
    <row r="110" spans="1:7" x14ac:dyDescent="0.25">
      <c r="A110" s="1">
        <v>37037</v>
      </c>
      <c r="B110" s="1" t="s">
        <v>178</v>
      </c>
      <c r="C110" s="1" t="s">
        <v>179</v>
      </c>
      <c r="D110" s="1" t="s">
        <v>351</v>
      </c>
      <c r="E110" s="1" t="s">
        <v>352</v>
      </c>
      <c r="F110" s="1" t="s">
        <v>354</v>
      </c>
      <c r="G110" s="1" t="s">
        <v>173</v>
      </c>
    </row>
    <row r="111" spans="1:7" x14ac:dyDescent="0.25">
      <c r="A111" s="1">
        <v>37031</v>
      </c>
      <c r="B111" s="1" t="s">
        <v>178</v>
      </c>
      <c r="C111" s="1" t="s">
        <v>179</v>
      </c>
      <c r="D111" s="1" t="s">
        <v>351</v>
      </c>
      <c r="E111" s="1" t="s">
        <v>355</v>
      </c>
      <c r="F111" s="1" t="s">
        <v>356</v>
      </c>
      <c r="G111" s="1" t="s">
        <v>173</v>
      </c>
    </row>
    <row r="112" spans="1:7" x14ac:dyDescent="0.25">
      <c r="A112" s="1">
        <v>39920</v>
      </c>
      <c r="B112" s="1" t="s">
        <v>178</v>
      </c>
      <c r="C112" s="1" t="s">
        <v>179</v>
      </c>
      <c r="D112" s="1" t="s">
        <v>351</v>
      </c>
      <c r="E112" s="1" t="s">
        <v>355</v>
      </c>
      <c r="F112" s="1" t="s">
        <v>357</v>
      </c>
      <c r="G112" s="1" t="s">
        <v>173</v>
      </c>
    </row>
    <row r="113" spans="1:7" x14ac:dyDescent="0.25">
      <c r="A113" s="1">
        <v>37039</v>
      </c>
      <c r="B113" s="1" t="s">
        <v>178</v>
      </c>
      <c r="C113" s="1" t="s">
        <v>179</v>
      </c>
      <c r="D113" s="1" t="s">
        <v>351</v>
      </c>
      <c r="E113" s="1" t="s">
        <v>358</v>
      </c>
      <c r="F113" s="1" t="s">
        <v>359</v>
      </c>
      <c r="G113" s="1" t="s">
        <v>173</v>
      </c>
    </row>
    <row r="114" spans="1:7" x14ac:dyDescent="0.25">
      <c r="A114" s="1">
        <v>37033</v>
      </c>
      <c r="B114" s="1" t="s">
        <v>178</v>
      </c>
      <c r="C114" s="1" t="s">
        <v>179</v>
      </c>
      <c r="D114" s="1" t="s">
        <v>351</v>
      </c>
      <c r="E114" s="1" t="s">
        <v>360</v>
      </c>
      <c r="F114" s="1" t="s">
        <v>361</v>
      </c>
      <c r="G114" s="1" t="s">
        <v>173</v>
      </c>
    </row>
    <row r="115" spans="1:7" x14ac:dyDescent="0.25">
      <c r="A115" s="1">
        <v>37034</v>
      </c>
      <c r="B115" s="1" t="s">
        <v>178</v>
      </c>
      <c r="C115" s="1" t="s">
        <v>179</v>
      </c>
      <c r="D115" s="1" t="s">
        <v>351</v>
      </c>
      <c r="E115" s="1" t="s">
        <v>360</v>
      </c>
      <c r="F115" s="1" t="s">
        <v>362</v>
      </c>
      <c r="G115" s="1" t="s">
        <v>173</v>
      </c>
    </row>
    <row r="116" spans="1:7" x14ac:dyDescent="0.25">
      <c r="A116" s="1">
        <v>37042</v>
      </c>
      <c r="B116" s="1" t="s">
        <v>178</v>
      </c>
      <c r="C116" s="1" t="s">
        <v>179</v>
      </c>
      <c r="D116" s="1" t="s">
        <v>363</v>
      </c>
      <c r="E116" s="1" t="s">
        <v>364</v>
      </c>
      <c r="F116" s="1" t="s">
        <v>365</v>
      </c>
      <c r="G116" s="1" t="s">
        <v>173</v>
      </c>
    </row>
    <row r="117" spans="1:7" x14ac:dyDescent="0.25">
      <c r="A117" s="1">
        <v>37043</v>
      </c>
      <c r="B117" s="1" t="s">
        <v>178</v>
      </c>
      <c r="C117" s="1" t="s">
        <v>179</v>
      </c>
      <c r="D117" s="1" t="s">
        <v>363</v>
      </c>
      <c r="E117" s="1" t="s">
        <v>364</v>
      </c>
      <c r="F117" s="1" t="s">
        <v>366</v>
      </c>
      <c r="G117" s="1" t="s">
        <v>173</v>
      </c>
    </row>
    <row r="118" spans="1:7" x14ac:dyDescent="0.25">
      <c r="A118" s="1">
        <v>37049</v>
      </c>
      <c r="B118" s="1" t="s">
        <v>178</v>
      </c>
      <c r="C118" s="1" t="s">
        <v>179</v>
      </c>
      <c r="D118" s="1" t="s">
        <v>367</v>
      </c>
      <c r="E118" s="1" t="s">
        <v>368</v>
      </c>
      <c r="F118" s="1" t="s">
        <v>369</v>
      </c>
      <c r="G118" s="1" t="s">
        <v>173</v>
      </c>
    </row>
    <row r="119" spans="1:7" x14ac:dyDescent="0.25">
      <c r="A119" s="1">
        <v>37050</v>
      </c>
      <c r="B119" s="1" t="s">
        <v>178</v>
      </c>
      <c r="C119" s="1" t="s">
        <v>179</v>
      </c>
      <c r="D119" s="1" t="s">
        <v>367</v>
      </c>
      <c r="E119" s="1" t="s">
        <v>368</v>
      </c>
      <c r="F119" s="1" t="s">
        <v>370</v>
      </c>
      <c r="G119" s="1" t="s">
        <v>173</v>
      </c>
    </row>
    <row r="120" spans="1:7" x14ac:dyDescent="0.25">
      <c r="A120" s="1">
        <v>37052</v>
      </c>
      <c r="B120" s="1" t="s">
        <v>178</v>
      </c>
      <c r="C120" s="1" t="s">
        <v>179</v>
      </c>
      <c r="D120" s="1" t="s">
        <v>367</v>
      </c>
      <c r="E120" s="1" t="s">
        <v>371</v>
      </c>
      <c r="F120" s="1" t="s">
        <v>372</v>
      </c>
      <c r="G120" s="1" t="s">
        <v>173</v>
      </c>
    </row>
    <row r="121" spans="1:7" x14ac:dyDescent="0.25">
      <c r="A121" s="1">
        <v>37053</v>
      </c>
      <c r="B121" s="1" t="s">
        <v>178</v>
      </c>
      <c r="C121" s="1" t="s">
        <v>179</v>
      </c>
      <c r="D121" s="1" t="s">
        <v>367</v>
      </c>
      <c r="E121" s="1" t="s">
        <v>371</v>
      </c>
      <c r="F121" s="1" t="s">
        <v>373</v>
      </c>
      <c r="G121" s="1" t="s">
        <v>173</v>
      </c>
    </row>
    <row r="122" spans="1:7" x14ac:dyDescent="0.25">
      <c r="A122" s="1">
        <v>37046</v>
      </c>
      <c r="B122" s="1" t="s">
        <v>178</v>
      </c>
      <c r="C122" s="1" t="s">
        <v>179</v>
      </c>
      <c r="D122" s="1" t="s">
        <v>367</v>
      </c>
      <c r="E122" s="1" t="s">
        <v>374</v>
      </c>
      <c r="F122" s="1" t="s">
        <v>375</v>
      </c>
      <c r="G122" s="1" t="s">
        <v>173</v>
      </c>
    </row>
    <row r="123" spans="1:7" x14ac:dyDescent="0.25">
      <c r="A123" s="1">
        <v>37047</v>
      </c>
      <c r="B123" s="1" t="s">
        <v>178</v>
      </c>
      <c r="C123" s="1" t="s">
        <v>179</v>
      </c>
      <c r="D123" s="1" t="s">
        <v>367</v>
      </c>
      <c r="E123" s="1" t="s">
        <v>374</v>
      </c>
      <c r="F123" s="1" t="s">
        <v>376</v>
      </c>
      <c r="G123" s="1" t="s">
        <v>173</v>
      </c>
    </row>
    <row r="124" spans="1:7" x14ac:dyDescent="0.25">
      <c r="A124" s="1">
        <v>36963</v>
      </c>
      <c r="B124" s="1" t="s">
        <v>178</v>
      </c>
      <c r="C124" s="1" t="s">
        <v>179</v>
      </c>
      <c r="D124" s="1" t="s">
        <v>367</v>
      </c>
      <c r="E124" s="1" t="s">
        <v>377</v>
      </c>
      <c r="F124" s="1" t="s">
        <v>378</v>
      </c>
      <c r="G124" s="1" t="s">
        <v>173</v>
      </c>
    </row>
    <row r="125" spans="1:7" x14ac:dyDescent="0.25">
      <c r="A125" s="1">
        <v>36969</v>
      </c>
      <c r="B125" s="1" t="s">
        <v>178</v>
      </c>
      <c r="C125" s="1" t="s">
        <v>179</v>
      </c>
      <c r="D125" s="1" t="s">
        <v>367</v>
      </c>
      <c r="E125" s="1" t="s">
        <v>377</v>
      </c>
      <c r="F125" s="1" t="s">
        <v>379</v>
      </c>
      <c r="G125" s="1" t="s">
        <v>173</v>
      </c>
    </row>
    <row r="126" spans="1:7" x14ac:dyDescent="0.25">
      <c r="A126" s="1">
        <v>36975</v>
      </c>
      <c r="B126" s="1" t="s">
        <v>178</v>
      </c>
      <c r="C126" s="1" t="s">
        <v>179</v>
      </c>
      <c r="D126" s="1" t="s">
        <v>367</v>
      </c>
      <c r="E126" s="1" t="s">
        <v>380</v>
      </c>
      <c r="F126" s="1" t="s">
        <v>381</v>
      </c>
      <c r="G126" s="1" t="s">
        <v>173</v>
      </c>
    </row>
    <row r="127" spans="1:7" x14ac:dyDescent="0.25">
      <c r="A127" s="1">
        <v>36979</v>
      </c>
      <c r="B127" s="1" t="s">
        <v>178</v>
      </c>
      <c r="C127" s="1" t="s">
        <v>179</v>
      </c>
      <c r="D127" s="1" t="s">
        <v>367</v>
      </c>
      <c r="E127" s="1" t="s">
        <v>380</v>
      </c>
      <c r="F127" s="1" t="s">
        <v>382</v>
      </c>
      <c r="G127" s="1" t="s">
        <v>173</v>
      </c>
    </row>
    <row r="128" spans="1:7" x14ac:dyDescent="0.25">
      <c r="A128" s="1">
        <v>37061</v>
      </c>
      <c r="B128" s="1" t="s">
        <v>178</v>
      </c>
      <c r="C128" s="1" t="s">
        <v>179</v>
      </c>
      <c r="D128" s="1" t="s">
        <v>383</v>
      </c>
      <c r="E128" s="1" t="s">
        <v>384</v>
      </c>
      <c r="F128" s="1" t="s">
        <v>385</v>
      </c>
      <c r="G128" s="1" t="s">
        <v>173</v>
      </c>
    </row>
    <row r="129" spans="1:7" x14ac:dyDescent="0.25">
      <c r="A129" s="1">
        <v>37062</v>
      </c>
      <c r="B129" s="1" t="s">
        <v>178</v>
      </c>
      <c r="C129" s="1" t="s">
        <v>179</v>
      </c>
      <c r="D129" s="1" t="s">
        <v>383</v>
      </c>
      <c r="E129" s="1" t="s">
        <v>384</v>
      </c>
      <c r="F129" s="1" t="s">
        <v>386</v>
      </c>
      <c r="G129" s="1" t="s">
        <v>173</v>
      </c>
    </row>
    <row r="130" spans="1:7" x14ac:dyDescent="0.25">
      <c r="A130" s="1">
        <v>37064</v>
      </c>
      <c r="B130" s="1" t="s">
        <v>178</v>
      </c>
      <c r="C130" s="1" t="s">
        <v>179</v>
      </c>
      <c r="D130" s="1" t="s">
        <v>383</v>
      </c>
      <c r="E130" s="1" t="s">
        <v>387</v>
      </c>
      <c r="F130" s="1" t="s">
        <v>388</v>
      </c>
      <c r="G130" s="1" t="s">
        <v>173</v>
      </c>
    </row>
    <row r="131" spans="1:7" x14ac:dyDescent="0.25">
      <c r="A131" s="1">
        <v>37070</v>
      </c>
      <c r="B131" s="1" t="s">
        <v>178</v>
      </c>
      <c r="C131" s="1" t="s">
        <v>179</v>
      </c>
      <c r="D131" s="1" t="s">
        <v>383</v>
      </c>
      <c r="E131" s="1" t="s">
        <v>387</v>
      </c>
      <c r="F131" s="1" t="s">
        <v>389</v>
      </c>
      <c r="G131" s="1" t="s">
        <v>173</v>
      </c>
    </row>
    <row r="132" spans="1:7" x14ac:dyDescent="0.25">
      <c r="A132" s="1">
        <v>37065</v>
      </c>
      <c r="B132" s="1" t="s">
        <v>178</v>
      </c>
      <c r="C132" s="1" t="s">
        <v>179</v>
      </c>
      <c r="D132" s="1" t="s">
        <v>383</v>
      </c>
      <c r="E132" s="1" t="s">
        <v>387</v>
      </c>
      <c r="F132" s="1" t="s">
        <v>390</v>
      </c>
      <c r="G132" s="1" t="s">
        <v>173</v>
      </c>
    </row>
    <row r="133" spans="1:7" x14ac:dyDescent="0.25">
      <c r="A133" s="1">
        <v>37071</v>
      </c>
      <c r="B133" s="1" t="s">
        <v>178</v>
      </c>
      <c r="C133" s="1" t="s">
        <v>179</v>
      </c>
      <c r="D133" s="1" t="s">
        <v>383</v>
      </c>
      <c r="E133" s="1" t="s">
        <v>387</v>
      </c>
      <c r="F133" s="1" t="s">
        <v>391</v>
      </c>
      <c r="G133" s="1" t="s">
        <v>173</v>
      </c>
    </row>
    <row r="134" spans="1:7" x14ac:dyDescent="0.25">
      <c r="A134" s="1">
        <v>37066</v>
      </c>
      <c r="B134" s="1" t="s">
        <v>178</v>
      </c>
      <c r="C134" s="1" t="s">
        <v>179</v>
      </c>
      <c r="D134" s="1" t="s">
        <v>383</v>
      </c>
      <c r="E134" s="1" t="s">
        <v>387</v>
      </c>
      <c r="F134" s="1" t="s">
        <v>392</v>
      </c>
      <c r="G134" s="1" t="s">
        <v>173</v>
      </c>
    </row>
    <row r="135" spans="1:7" x14ac:dyDescent="0.25">
      <c r="A135" s="1">
        <v>37072</v>
      </c>
      <c r="B135" s="1" t="s">
        <v>178</v>
      </c>
      <c r="C135" s="1" t="s">
        <v>179</v>
      </c>
      <c r="D135" s="1" t="s">
        <v>383</v>
      </c>
      <c r="E135" s="1" t="s">
        <v>387</v>
      </c>
      <c r="F135" s="1" t="s">
        <v>393</v>
      </c>
      <c r="G135" s="1" t="s">
        <v>173</v>
      </c>
    </row>
    <row r="136" spans="1:7" x14ac:dyDescent="0.25">
      <c r="A136" s="1">
        <v>37067</v>
      </c>
      <c r="B136" s="1" t="s">
        <v>178</v>
      </c>
      <c r="C136" s="1" t="s">
        <v>179</v>
      </c>
      <c r="D136" s="1" t="s">
        <v>383</v>
      </c>
      <c r="E136" s="1" t="s">
        <v>387</v>
      </c>
      <c r="F136" s="1" t="s">
        <v>394</v>
      </c>
      <c r="G136" s="1" t="s">
        <v>173</v>
      </c>
    </row>
    <row r="137" spans="1:7" x14ac:dyDescent="0.25">
      <c r="A137" s="1">
        <v>37073</v>
      </c>
      <c r="B137" s="1" t="s">
        <v>178</v>
      </c>
      <c r="C137" s="1" t="s">
        <v>179</v>
      </c>
      <c r="D137" s="1" t="s">
        <v>383</v>
      </c>
      <c r="E137" s="1" t="s">
        <v>387</v>
      </c>
      <c r="F137" s="1" t="s">
        <v>395</v>
      </c>
      <c r="G137" s="1" t="s">
        <v>173</v>
      </c>
    </row>
    <row r="138" spans="1:7" x14ac:dyDescent="0.25">
      <c r="A138" s="1">
        <v>37068</v>
      </c>
      <c r="B138" s="1" t="s">
        <v>178</v>
      </c>
      <c r="C138" s="1" t="s">
        <v>179</v>
      </c>
      <c r="D138" s="1" t="s">
        <v>383</v>
      </c>
      <c r="E138" s="1" t="s">
        <v>387</v>
      </c>
      <c r="F138" s="1" t="s">
        <v>396</v>
      </c>
      <c r="G138" s="1" t="s">
        <v>173</v>
      </c>
    </row>
    <row r="139" spans="1:7" x14ac:dyDescent="0.25">
      <c r="A139" s="1">
        <v>37074</v>
      </c>
      <c r="B139" s="1" t="s">
        <v>178</v>
      </c>
      <c r="C139" s="1" t="s">
        <v>179</v>
      </c>
      <c r="D139" s="1" t="s">
        <v>383</v>
      </c>
      <c r="E139" s="1" t="s">
        <v>387</v>
      </c>
      <c r="F139" s="1" t="s">
        <v>397</v>
      </c>
      <c r="G139" s="1" t="s">
        <v>173</v>
      </c>
    </row>
    <row r="140" spans="1:7" x14ac:dyDescent="0.25">
      <c r="A140" s="1">
        <v>37069</v>
      </c>
      <c r="B140" s="1" t="s">
        <v>178</v>
      </c>
      <c r="C140" s="1" t="s">
        <v>179</v>
      </c>
      <c r="D140" s="1" t="s">
        <v>383</v>
      </c>
      <c r="E140" s="1" t="s">
        <v>387</v>
      </c>
      <c r="F140" s="1" t="s">
        <v>398</v>
      </c>
      <c r="G140" s="1" t="s">
        <v>173</v>
      </c>
    </row>
    <row r="141" spans="1:7" x14ac:dyDescent="0.25">
      <c r="A141" s="1">
        <v>37075</v>
      </c>
      <c r="B141" s="1" t="s">
        <v>178</v>
      </c>
      <c r="C141" s="1" t="s">
        <v>179</v>
      </c>
      <c r="D141" s="1" t="s">
        <v>383</v>
      </c>
      <c r="E141" s="1" t="s">
        <v>387</v>
      </c>
      <c r="F141" s="1" t="s">
        <v>399</v>
      </c>
      <c r="G141" s="1" t="s">
        <v>173</v>
      </c>
    </row>
    <row r="142" spans="1:7" x14ac:dyDescent="0.25">
      <c r="A142" s="1">
        <v>37077</v>
      </c>
      <c r="B142" s="1" t="s">
        <v>178</v>
      </c>
      <c r="C142" s="1" t="s">
        <v>179</v>
      </c>
      <c r="D142" s="1" t="s">
        <v>383</v>
      </c>
      <c r="E142" s="1" t="s">
        <v>400</v>
      </c>
      <c r="F142" s="1" t="s">
        <v>401</v>
      </c>
      <c r="G142" s="1" t="s">
        <v>173</v>
      </c>
    </row>
    <row r="143" spans="1:7" x14ac:dyDescent="0.25">
      <c r="A143" s="1">
        <v>37078</v>
      </c>
      <c r="B143" s="1" t="s">
        <v>178</v>
      </c>
      <c r="C143" s="1" t="s">
        <v>179</v>
      </c>
      <c r="D143" s="1" t="s">
        <v>383</v>
      </c>
      <c r="E143" s="1" t="s">
        <v>400</v>
      </c>
      <c r="F143" s="1" t="s">
        <v>402</v>
      </c>
      <c r="G143" s="1" t="s">
        <v>173</v>
      </c>
    </row>
    <row r="144" spans="1:7" x14ac:dyDescent="0.25">
      <c r="A144" s="1">
        <v>37081</v>
      </c>
      <c r="B144" s="1" t="s">
        <v>178</v>
      </c>
      <c r="C144" s="1" t="s">
        <v>179</v>
      </c>
      <c r="D144" s="1" t="s">
        <v>403</v>
      </c>
      <c r="E144" s="1" t="s">
        <v>404</v>
      </c>
      <c r="F144" s="1" t="s">
        <v>405</v>
      </c>
      <c r="G144" s="1" t="s">
        <v>173</v>
      </c>
    </row>
    <row r="145" spans="1:7" x14ac:dyDescent="0.25">
      <c r="A145" s="1">
        <v>37084</v>
      </c>
      <c r="B145" s="1" t="s">
        <v>178</v>
      </c>
      <c r="C145" s="1" t="s">
        <v>179</v>
      </c>
      <c r="D145" s="1" t="s">
        <v>406</v>
      </c>
      <c r="E145" s="1" t="s">
        <v>407</v>
      </c>
      <c r="F145" s="1" t="s">
        <v>408</v>
      </c>
      <c r="G145" s="1" t="s">
        <v>173</v>
      </c>
    </row>
    <row r="146" spans="1:7" x14ac:dyDescent="0.25">
      <c r="A146" s="1">
        <v>37085</v>
      </c>
      <c r="B146" s="1" t="s">
        <v>178</v>
      </c>
      <c r="C146" s="1" t="s">
        <v>179</v>
      </c>
      <c r="D146" s="1" t="s">
        <v>406</v>
      </c>
      <c r="E146" s="1" t="s">
        <v>407</v>
      </c>
      <c r="F146" s="1" t="s">
        <v>409</v>
      </c>
      <c r="G146" s="1" t="s">
        <v>173</v>
      </c>
    </row>
    <row r="147" spans="1:7" x14ac:dyDescent="0.25">
      <c r="A147" s="1">
        <v>37087</v>
      </c>
      <c r="B147" s="1" t="s">
        <v>178</v>
      </c>
      <c r="C147" s="1" t="s">
        <v>179</v>
      </c>
      <c r="D147" s="1" t="s">
        <v>406</v>
      </c>
      <c r="E147" s="1" t="s">
        <v>410</v>
      </c>
      <c r="F147" s="1" t="s">
        <v>411</v>
      </c>
      <c r="G147" s="1" t="s">
        <v>173</v>
      </c>
    </row>
    <row r="148" spans="1:7" x14ac:dyDescent="0.25">
      <c r="A148" s="1">
        <v>58374</v>
      </c>
      <c r="B148" s="1" t="s">
        <v>178</v>
      </c>
      <c r="C148" s="1" t="s">
        <v>179</v>
      </c>
      <c r="D148" s="1" t="s">
        <v>412</v>
      </c>
      <c r="E148" s="1" t="s">
        <v>413</v>
      </c>
      <c r="F148" s="1" t="s">
        <v>414</v>
      </c>
      <c r="G148" s="1" t="s">
        <v>173</v>
      </c>
    </row>
    <row r="149" spans="1:7" x14ac:dyDescent="0.25">
      <c r="A149" s="1">
        <v>37115</v>
      </c>
      <c r="B149" s="1" t="s">
        <v>178</v>
      </c>
      <c r="C149" s="1" t="s">
        <v>179</v>
      </c>
      <c r="D149" s="1" t="s">
        <v>412</v>
      </c>
      <c r="E149" s="1" t="s">
        <v>415</v>
      </c>
      <c r="F149" s="1" t="s">
        <v>416</v>
      </c>
      <c r="G149" s="1" t="s">
        <v>173</v>
      </c>
    </row>
    <row r="150" spans="1:7" x14ac:dyDescent="0.25">
      <c r="A150" s="1">
        <v>37116</v>
      </c>
      <c r="B150" s="1" t="s">
        <v>178</v>
      </c>
      <c r="C150" s="1" t="s">
        <v>179</v>
      </c>
      <c r="D150" s="1" t="s">
        <v>412</v>
      </c>
      <c r="E150" s="1" t="s">
        <v>415</v>
      </c>
      <c r="F150" s="1" t="s">
        <v>417</v>
      </c>
      <c r="G150" s="1" t="s">
        <v>173</v>
      </c>
    </row>
    <row r="151" spans="1:7" x14ac:dyDescent="0.25">
      <c r="A151" s="1">
        <v>37090</v>
      </c>
      <c r="B151" s="1" t="s">
        <v>178</v>
      </c>
      <c r="C151" s="1" t="s">
        <v>179</v>
      </c>
      <c r="D151" s="1" t="s">
        <v>412</v>
      </c>
      <c r="E151" s="1" t="s">
        <v>418</v>
      </c>
      <c r="F151" s="1" t="s">
        <v>419</v>
      </c>
      <c r="G151" s="1" t="s">
        <v>173</v>
      </c>
    </row>
    <row r="152" spans="1:7" x14ac:dyDescent="0.25">
      <c r="A152" s="1">
        <v>37091</v>
      </c>
      <c r="B152" s="1" t="s">
        <v>178</v>
      </c>
      <c r="C152" s="1" t="s">
        <v>179</v>
      </c>
      <c r="D152" s="1" t="s">
        <v>412</v>
      </c>
      <c r="E152" s="1" t="s">
        <v>418</v>
      </c>
      <c r="F152" s="1" t="s">
        <v>420</v>
      </c>
      <c r="G152" s="1" t="s">
        <v>173</v>
      </c>
    </row>
    <row r="153" spans="1:7" x14ac:dyDescent="0.25">
      <c r="A153" s="1">
        <v>37092</v>
      </c>
      <c r="B153" s="1" t="s">
        <v>178</v>
      </c>
      <c r="C153" s="1" t="s">
        <v>179</v>
      </c>
      <c r="D153" s="1" t="s">
        <v>412</v>
      </c>
      <c r="E153" s="1" t="s">
        <v>418</v>
      </c>
      <c r="F153" s="1" t="s">
        <v>421</v>
      </c>
      <c r="G153" s="1" t="s">
        <v>173</v>
      </c>
    </row>
    <row r="154" spans="1:7" x14ac:dyDescent="0.25">
      <c r="A154" s="1">
        <v>37094</v>
      </c>
      <c r="B154" s="1" t="s">
        <v>178</v>
      </c>
      <c r="C154" s="1" t="s">
        <v>179</v>
      </c>
      <c r="D154" s="1" t="s">
        <v>412</v>
      </c>
      <c r="E154" s="1" t="s">
        <v>422</v>
      </c>
      <c r="F154" s="1" t="s">
        <v>423</v>
      </c>
      <c r="G154" s="1" t="s">
        <v>173</v>
      </c>
    </row>
    <row r="155" spans="1:7" x14ac:dyDescent="0.25">
      <c r="A155" s="1">
        <v>37095</v>
      </c>
      <c r="B155" s="1" t="s">
        <v>178</v>
      </c>
      <c r="C155" s="1" t="s">
        <v>179</v>
      </c>
      <c r="D155" s="1" t="s">
        <v>412</v>
      </c>
      <c r="E155" s="1" t="s">
        <v>422</v>
      </c>
      <c r="F155" s="1" t="s">
        <v>424</v>
      </c>
      <c r="G155" s="1" t="s">
        <v>173</v>
      </c>
    </row>
    <row r="156" spans="1:7" x14ac:dyDescent="0.25">
      <c r="A156" s="1">
        <v>37096</v>
      </c>
      <c r="B156" s="1" t="s">
        <v>178</v>
      </c>
      <c r="C156" s="1" t="s">
        <v>179</v>
      </c>
      <c r="D156" s="1" t="s">
        <v>412</v>
      </c>
      <c r="E156" s="1" t="s">
        <v>422</v>
      </c>
      <c r="F156" s="1" t="s">
        <v>425</v>
      </c>
      <c r="G156" s="1" t="s">
        <v>173</v>
      </c>
    </row>
    <row r="157" spans="1:7" x14ac:dyDescent="0.25">
      <c r="A157" s="1">
        <v>37098</v>
      </c>
      <c r="B157" s="1" t="s">
        <v>178</v>
      </c>
      <c r="C157" s="1" t="s">
        <v>179</v>
      </c>
      <c r="D157" s="1" t="s">
        <v>412</v>
      </c>
      <c r="E157" s="1" t="s">
        <v>426</v>
      </c>
      <c r="F157" s="1" t="s">
        <v>427</v>
      </c>
      <c r="G157" s="1" t="s">
        <v>173</v>
      </c>
    </row>
    <row r="158" spans="1:7" x14ac:dyDescent="0.25">
      <c r="A158" s="1">
        <v>37099</v>
      </c>
      <c r="B158" s="1" t="s">
        <v>178</v>
      </c>
      <c r="C158" s="1" t="s">
        <v>179</v>
      </c>
      <c r="D158" s="1" t="s">
        <v>412</v>
      </c>
      <c r="E158" s="1" t="s">
        <v>426</v>
      </c>
      <c r="F158" s="1" t="s">
        <v>428</v>
      </c>
      <c r="G158" s="1" t="s">
        <v>173</v>
      </c>
    </row>
    <row r="159" spans="1:7" x14ac:dyDescent="0.25">
      <c r="A159" s="1">
        <v>59172</v>
      </c>
      <c r="B159" s="1" t="s">
        <v>178</v>
      </c>
      <c r="C159" s="1" t="s">
        <v>179</v>
      </c>
      <c r="D159" s="1" t="s">
        <v>412</v>
      </c>
      <c r="E159" s="1" t="s">
        <v>429</v>
      </c>
      <c r="F159" s="1" t="s">
        <v>430</v>
      </c>
      <c r="G159" s="1" t="s">
        <v>173</v>
      </c>
    </row>
    <row r="160" spans="1:7" x14ac:dyDescent="0.25">
      <c r="A160" s="1">
        <v>59173</v>
      </c>
      <c r="B160" s="1" t="s">
        <v>178</v>
      </c>
      <c r="C160" s="1" t="s">
        <v>179</v>
      </c>
      <c r="D160" s="1" t="s">
        <v>412</v>
      </c>
      <c r="E160" s="1" t="s">
        <v>429</v>
      </c>
      <c r="F160" s="1" t="s">
        <v>431</v>
      </c>
      <c r="G160" s="1" t="s">
        <v>173</v>
      </c>
    </row>
    <row r="161" spans="1:7" x14ac:dyDescent="0.25">
      <c r="A161" s="1">
        <v>59184</v>
      </c>
      <c r="B161" s="1" t="s">
        <v>178</v>
      </c>
      <c r="C161" s="1" t="s">
        <v>179</v>
      </c>
      <c r="D161" s="1" t="s">
        <v>412</v>
      </c>
      <c r="E161" s="1" t="s">
        <v>432</v>
      </c>
      <c r="F161" s="1" t="s">
        <v>433</v>
      </c>
      <c r="G161" s="1" t="s">
        <v>173</v>
      </c>
    </row>
    <row r="162" spans="1:7" x14ac:dyDescent="0.25">
      <c r="A162" s="1">
        <v>59185</v>
      </c>
      <c r="B162" s="1" t="s">
        <v>178</v>
      </c>
      <c r="C162" s="1" t="s">
        <v>179</v>
      </c>
      <c r="D162" s="1" t="s">
        <v>412</v>
      </c>
      <c r="E162" s="1" t="s">
        <v>432</v>
      </c>
      <c r="F162" s="1" t="s">
        <v>434</v>
      </c>
      <c r="G162" s="1" t="s">
        <v>173</v>
      </c>
    </row>
    <row r="163" spans="1:7" x14ac:dyDescent="0.25">
      <c r="A163" s="1">
        <v>37118</v>
      </c>
      <c r="B163" s="1" t="s">
        <v>178</v>
      </c>
      <c r="C163" s="1" t="s">
        <v>179</v>
      </c>
      <c r="D163" s="1" t="s">
        <v>412</v>
      </c>
      <c r="E163" s="1" t="s">
        <v>435</v>
      </c>
      <c r="F163" s="1" t="s">
        <v>436</v>
      </c>
      <c r="G163" s="1" t="s">
        <v>173</v>
      </c>
    </row>
    <row r="164" spans="1:7" x14ac:dyDescent="0.25">
      <c r="A164" s="1">
        <v>37119</v>
      </c>
      <c r="B164" s="1" t="s">
        <v>178</v>
      </c>
      <c r="C164" s="1" t="s">
        <v>179</v>
      </c>
      <c r="D164" s="1" t="s">
        <v>412</v>
      </c>
      <c r="E164" s="1" t="s">
        <v>435</v>
      </c>
      <c r="F164" s="1" t="s">
        <v>437</v>
      </c>
      <c r="G164" s="1" t="s">
        <v>173</v>
      </c>
    </row>
    <row r="165" spans="1:7" x14ac:dyDescent="0.25">
      <c r="A165" s="1">
        <v>37120</v>
      </c>
      <c r="B165" s="1" t="s">
        <v>178</v>
      </c>
      <c r="C165" s="1" t="s">
        <v>179</v>
      </c>
      <c r="D165" s="1" t="s">
        <v>412</v>
      </c>
      <c r="E165" s="1" t="s">
        <v>435</v>
      </c>
      <c r="F165" s="1" t="s">
        <v>438</v>
      </c>
      <c r="G165" s="1" t="s">
        <v>173</v>
      </c>
    </row>
    <row r="166" spans="1:7" x14ac:dyDescent="0.25">
      <c r="A166" s="1">
        <v>37121</v>
      </c>
      <c r="B166" s="1" t="s">
        <v>178</v>
      </c>
      <c r="C166" s="1" t="s">
        <v>179</v>
      </c>
      <c r="D166" s="1" t="s">
        <v>412</v>
      </c>
      <c r="E166" s="1" t="s">
        <v>435</v>
      </c>
      <c r="F166" s="1" t="s">
        <v>439</v>
      </c>
      <c r="G166" s="1" t="s">
        <v>173</v>
      </c>
    </row>
    <row r="167" spans="1:7" x14ac:dyDescent="0.25">
      <c r="A167" s="1">
        <v>37111</v>
      </c>
      <c r="B167" s="1" t="s">
        <v>178</v>
      </c>
      <c r="C167" s="1" t="s">
        <v>179</v>
      </c>
      <c r="D167" s="1" t="s">
        <v>412</v>
      </c>
      <c r="E167" s="1" t="s">
        <v>440</v>
      </c>
      <c r="F167" s="1" t="s">
        <v>441</v>
      </c>
      <c r="G167" s="1" t="s">
        <v>173</v>
      </c>
    </row>
    <row r="168" spans="1:7" x14ac:dyDescent="0.25">
      <c r="A168" s="1">
        <v>37112</v>
      </c>
      <c r="B168" s="1" t="s">
        <v>178</v>
      </c>
      <c r="C168" s="1" t="s">
        <v>179</v>
      </c>
      <c r="D168" s="1" t="s">
        <v>412</v>
      </c>
      <c r="E168" s="1" t="s">
        <v>440</v>
      </c>
      <c r="F168" s="1" t="s">
        <v>442</v>
      </c>
      <c r="G168" s="1" t="s">
        <v>173</v>
      </c>
    </row>
    <row r="169" spans="1:7" x14ac:dyDescent="0.25">
      <c r="A169" s="1">
        <v>37113</v>
      </c>
      <c r="B169" s="1" t="s">
        <v>178</v>
      </c>
      <c r="C169" s="1" t="s">
        <v>179</v>
      </c>
      <c r="D169" s="1" t="s">
        <v>412</v>
      </c>
      <c r="E169" s="1" t="s">
        <v>440</v>
      </c>
      <c r="F169" s="1" t="s">
        <v>443</v>
      </c>
      <c r="G169" s="1" t="s">
        <v>173</v>
      </c>
    </row>
    <row r="170" spans="1:7" x14ac:dyDescent="0.25">
      <c r="A170" s="1">
        <v>37109</v>
      </c>
      <c r="B170" s="1" t="s">
        <v>178</v>
      </c>
      <c r="C170" s="1" t="s">
        <v>179</v>
      </c>
      <c r="D170" s="1" t="s">
        <v>412</v>
      </c>
      <c r="E170" s="1" t="s">
        <v>444</v>
      </c>
      <c r="F170" s="1" t="s">
        <v>445</v>
      </c>
      <c r="G170" s="1" t="s">
        <v>173</v>
      </c>
    </row>
    <row r="171" spans="1:7" x14ac:dyDescent="0.25">
      <c r="A171" s="1">
        <v>37103</v>
      </c>
      <c r="B171" s="1" t="s">
        <v>178</v>
      </c>
      <c r="C171" s="1" t="s">
        <v>179</v>
      </c>
      <c r="D171" s="1" t="s">
        <v>412</v>
      </c>
      <c r="E171" s="1" t="s">
        <v>446</v>
      </c>
      <c r="F171" s="1" t="s">
        <v>447</v>
      </c>
      <c r="G171" s="1" t="s">
        <v>173</v>
      </c>
    </row>
    <row r="172" spans="1:7" x14ac:dyDescent="0.25">
      <c r="A172" s="1">
        <v>37104</v>
      </c>
      <c r="B172" s="1" t="s">
        <v>178</v>
      </c>
      <c r="C172" s="1" t="s">
        <v>179</v>
      </c>
      <c r="D172" s="1" t="s">
        <v>412</v>
      </c>
      <c r="E172" s="1" t="s">
        <v>446</v>
      </c>
      <c r="F172" s="1" t="s">
        <v>448</v>
      </c>
      <c r="G172" s="1" t="s">
        <v>173</v>
      </c>
    </row>
    <row r="173" spans="1:7" x14ac:dyDescent="0.25">
      <c r="A173" s="1">
        <v>58375</v>
      </c>
      <c r="B173" s="1" t="s">
        <v>178</v>
      </c>
      <c r="C173" s="1" t="s">
        <v>179</v>
      </c>
      <c r="D173" s="1" t="s">
        <v>412</v>
      </c>
      <c r="E173" s="1" t="s">
        <v>449</v>
      </c>
      <c r="F173" s="1" t="s">
        <v>450</v>
      </c>
      <c r="G173" s="1" t="s">
        <v>173</v>
      </c>
    </row>
    <row r="174" spans="1:7" x14ac:dyDescent="0.25">
      <c r="A174" s="1">
        <v>58373</v>
      </c>
      <c r="B174" s="1" t="s">
        <v>178</v>
      </c>
      <c r="C174" s="1" t="s">
        <v>179</v>
      </c>
      <c r="D174" s="1" t="s">
        <v>412</v>
      </c>
      <c r="E174" s="1" t="s">
        <v>451</v>
      </c>
      <c r="F174" s="1" t="s">
        <v>452</v>
      </c>
      <c r="G174" s="1" t="s">
        <v>173</v>
      </c>
    </row>
    <row r="175" spans="1:7" x14ac:dyDescent="0.25">
      <c r="A175" s="1">
        <v>58372</v>
      </c>
      <c r="B175" s="1" t="s">
        <v>178</v>
      </c>
      <c r="C175" s="1" t="s">
        <v>179</v>
      </c>
      <c r="D175" s="1" t="s">
        <v>412</v>
      </c>
      <c r="E175" s="1" t="s">
        <v>453</v>
      </c>
      <c r="F175" s="1" t="s">
        <v>454</v>
      </c>
      <c r="G175" s="1" t="s">
        <v>173</v>
      </c>
    </row>
    <row r="176" spans="1:7" x14ac:dyDescent="0.25">
      <c r="A176" s="1">
        <v>37126</v>
      </c>
      <c r="B176" s="1" t="s">
        <v>178</v>
      </c>
      <c r="C176" s="1" t="s">
        <v>179</v>
      </c>
      <c r="D176" s="1" t="s">
        <v>455</v>
      </c>
      <c r="E176" s="1" t="s">
        <v>456</v>
      </c>
      <c r="F176" s="1" t="s">
        <v>457</v>
      </c>
      <c r="G176" s="1" t="s">
        <v>173</v>
      </c>
    </row>
    <row r="177" spans="1:7" x14ac:dyDescent="0.25">
      <c r="A177" s="1">
        <v>37127</v>
      </c>
      <c r="B177" s="1" t="s">
        <v>178</v>
      </c>
      <c r="C177" s="1" t="s">
        <v>179</v>
      </c>
      <c r="D177" s="1" t="s">
        <v>455</v>
      </c>
      <c r="E177" s="1" t="s">
        <v>456</v>
      </c>
      <c r="F177" s="1" t="s">
        <v>458</v>
      </c>
      <c r="G177" s="1" t="s">
        <v>173</v>
      </c>
    </row>
    <row r="178" spans="1:7" x14ac:dyDescent="0.25">
      <c r="A178" s="1">
        <v>37132</v>
      </c>
      <c r="B178" s="1" t="s">
        <v>178</v>
      </c>
      <c r="C178" s="1" t="s">
        <v>179</v>
      </c>
      <c r="D178" s="1" t="s">
        <v>455</v>
      </c>
      <c r="E178" s="1" t="s">
        <v>459</v>
      </c>
      <c r="F178" s="1" t="s">
        <v>460</v>
      </c>
      <c r="G178" s="1" t="s">
        <v>173</v>
      </c>
    </row>
    <row r="179" spans="1:7" x14ac:dyDescent="0.25">
      <c r="A179" s="1">
        <v>37133</v>
      </c>
      <c r="B179" s="1" t="s">
        <v>178</v>
      </c>
      <c r="C179" s="1" t="s">
        <v>179</v>
      </c>
      <c r="D179" s="1" t="s">
        <v>455</v>
      </c>
      <c r="E179" s="1" t="s">
        <v>459</v>
      </c>
      <c r="F179" s="1" t="s">
        <v>461</v>
      </c>
      <c r="G179" s="1" t="s">
        <v>173</v>
      </c>
    </row>
    <row r="180" spans="1:7" x14ac:dyDescent="0.25">
      <c r="A180" s="1">
        <v>37134</v>
      </c>
      <c r="B180" s="1" t="s">
        <v>178</v>
      </c>
      <c r="C180" s="1" t="s">
        <v>179</v>
      </c>
      <c r="D180" s="1" t="s">
        <v>455</v>
      </c>
      <c r="E180" s="1" t="s">
        <v>459</v>
      </c>
      <c r="F180" s="1" t="s">
        <v>462</v>
      </c>
      <c r="G180" s="1" t="s">
        <v>173</v>
      </c>
    </row>
    <row r="181" spans="1:7" x14ac:dyDescent="0.25">
      <c r="A181" s="1">
        <v>37129</v>
      </c>
      <c r="B181" s="1" t="s">
        <v>178</v>
      </c>
      <c r="C181" s="1" t="s">
        <v>179</v>
      </c>
      <c r="D181" s="1" t="s">
        <v>455</v>
      </c>
      <c r="E181" s="1" t="s">
        <v>463</v>
      </c>
      <c r="F181" s="1" t="s">
        <v>464</v>
      </c>
      <c r="G181" s="1" t="s">
        <v>173</v>
      </c>
    </row>
    <row r="182" spans="1:7" x14ac:dyDescent="0.25">
      <c r="A182" s="1">
        <v>37130</v>
      </c>
      <c r="B182" s="1" t="s">
        <v>178</v>
      </c>
      <c r="C182" s="1" t="s">
        <v>179</v>
      </c>
      <c r="D182" s="1" t="s">
        <v>455</v>
      </c>
      <c r="E182" s="1" t="s">
        <v>463</v>
      </c>
      <c r="F182" s="1" t="s">
        <v>465</v>
      </c>
      <c r="G182" s="1" t="s">
        <v>173</v>
      </c>
    </row>
    <row r="183" spans="1:7" x14ac:dyDescent="0.25">
      <c r="A183" s="1">
        <v>37136</v>
      </c>
      <c r="B183" s="1" t="s">
        <v>178</v>
      </c>
      <c r="C183" s="1" t="s">
        <v>179</v>
      </c>
      <c r="D183" s="1" t="s">
        <v>455</v>
      </c>
      <c r="E183" s="1" t="s">
        <v>466</v>
      </c>
      <c r="F183" s="1" t="s">
        <v>467</v>
      </c>
      <c r="G183" s="1" t="s">
        <v>173</v>
      </c>
    </row>
    <row r="184" spans="1:7" x14ac:dyDescent="0.25">
      <c r="A184" s="1">
        <v>37137</v>
      </c>
      <c r="B184" s="1" t="s">
        <v>178</v>
      </c>
      <c r="C184" s="1" t="s">
        <v>179</v>
      </c>
      <c r="D184" s="1" t="s">
        <v>455</v>
      </c>
      <c r="E184" s="1" t="s">
        <v>466</v>
      </c>
      <c r="F184" s="1" t="s">
        <v>468</v>
      </c>
      <c r="G184" s="1" t="s">
        <v>173</v>
      </c>
    </row>
    <row r="185" spans="1:7" x14ac:dyDescent="0.25">
      <c r="A185" s="1">
        <v>37140</v>
      </c>
      <c r="B185" s="1" t="s">
        <v>178</v>
      </c>
      <c r="C185" s="1" t="s">
        <v>179</v>
      </c>
      <c r="D185" s="1" t="s">
        <v>469</v>
      </c>
      <c r="E185" s="1" t="s">
        <v>470</v>
      </c>
      <c r="F185" s="1" t="s">
        <v>471</v>
      </c>
      <c r="G185" s="1" t="s">
        <v>173</v>
      </c>
    </row>
    <row r="186" spans="1:7" x14ac:dyDescent="0.25">
      <c r="A186" s="1">
        <v>48075</v>
      </c>
      <c r="B186" s="1" t="s">
        <v>178</v>
      </c>
      <c r="C186" s="1" t="s">
        <v>472</v>
      </c>
      <c r="D186" s="1" t="s">
        <v>180</v>
      </c>
      <c r="E186" s="1" t="s">
        <v>181</v>
      </c>
      <c r="F186" s="1" t="s">
        <v>182</v>
      </c>
      <c r="G186" s="1" t="s">
        <v>173</v>
      </c>
    </row>
    <row r="187" spans="1:7" x14ac:dyDescent="0.25">
      <c r="A187" s="1">
        <v>48077</v>
      </c>
      <c r="B187" s="1" t="s">
        <v>178</v>
      </c>
      <c r="C187" s="1" t="s">
        <v>472</v>
      </c>
      <c r="D187" s="1" t="s">
        <v>180</v>
      </c>
      <c r="E187" s="1" t="s">
        <v>181</v>
      </c>
      <c r="F187" s="1" t="s">
        <v>183</v>
      </c>
      <c r="G187" s="1" t="s">
        <v>173</v>
      </c>
    </row>
    <row r="188" spans="1:7" x14ac:dyDescent="0.25">
      <c r="A188" s="1">
        <v>37151</v>
      </c>
      <c r="B188" s="1" t="s">
        <v>178</v>
      </c>
      <c r="C188" s="1" t="s">
        <v>472</v>
      </c>
      <c r="D188" s="1" t="s">
        <v>184</v>
      </c>
      <c r="E188" s="1" t="s">
        <v>185</v>
      </c>
      <c r="F188" s="1" t="s">
        <v>473</v>
      </c>
      <c r="G188" s="1" t="s">
        <v>173</v>
      </c>
    </row>
    <row r="189" spans="1:7" x14ac:dyDescent="0.25">
      <c r="A189" s="1">
        <v>37152</v>
      </c>
      <c r="B189" s="1" t="s">
        <v>178</v>
      </c>
      <c r="C189" s="1" t="s">
        <v>472</v>
      </c>
      <c r="D189" s="1" t="s">
        <v>184</v>
      </c>
      <c r="E189" s="1" t="s">
        <v>185</v>
      </c>
      <c r="F189" s="1" t="s">
        <v>474</v>
      </c>
      <c r="G189" s="1" t="s">
        <v>173</v>
      </c>
    </row>
    <row r="190" spans="1:7" x14ac:dyDescent="0.25">
      <c r="A190" s="1">
        <v>37161</v>
      </c>
      <c r="B190" s="1" t="s">
        <v>178</v>
      </c>
      <c r="C190" s="1" t="s">
        <v>472</v>
      </c>
      <c r="D190" s="1" t="s">
        <v>188</v>
      </c>
      <c r="E190" s="1" t="s">
        <v>189</v>
      </c>
      <c r="F190" s="1" t="s">
        <v>190</v>
      </c>
      <c r="G190" s="1" t="s">
        <v>173</v>
      </c>
    </row>
    <row r="191" spans="1:7" x14ac:dyDescent="0.25">
      <c r="A191" s="1">
        <v>37162</v>
      </c>
      <c r="B191" s="1" t="s">
        <v>178</v>
      </c>
      <c r="C191" s="1" t="s">
        <v>472</v>
      </c>
      <c r="D191" s="1" t="s">
        <v>188</v>
      </c>
      <c r="E191" s="1" t="s">
        <v>189</v>
      </c>
      <c r="F191" s="1" t="s">
        <v>191</v>
      </c>
      <c r="G191" s="1" t="s">
        <v>173</v>
      </c>
    </row>
    <row r="192" spans="1:7" x14ac:dyDescent="0.25">
      <c r="A192" s="1">
        <v>37155</v>
      </c>
      <c r="B192" s="1" t="s">
        <v>178</v>
      </c>
      <c r="C192" s="1" t="s">
        <v>472</v>
      </c>
      <c r="D192" s="1" t="s">
        <v>188</v>
      </c>
      <c r="E192" s="1" t="s">
        <v>192</v>
      </c>
      <c r="F192" s="1" t="s">
        <v>193</v>
      </c>
      <c r="G192" s="1" t="s">
        <v>173</v>
      </c>
    </row>
    <row r="193" spans="1:7" x14ac:dyDescent="0.25">
      <c r="A193" s="1">
        <v>37156</v>
      </c>
      <c r="B193" s="1" t="s">
        <v>178</v>
      </c>
      <c r="C193" s="1" t="s">
        <v>472</v>
      </c>
      <c r="D193" s="1" t="s">
        <v>188</v>
      </c>
      <c r="E193" s="1" t="s">
        <v>192</v>
      </c>
      <c r="F193" s="1" t="s">
        <v>194</v>
      </c>
      <c r="G193" s="1" t="s">
        <v>173</v>
      </c>
    </row>
    <row r="194" spans="1:7" x14ac:dyDescent="0.25">
      <c r="A194" s="1">
        <v>37158</v>
      </c>
      <c r="B194" s="1" t="s">
        <v>178</v>
      </c>
      <c r="C194" s="1" t="s">
        <v>472</v>
      </c>
      <c r="D194" s="1" t="s">
        <v>188</v>
      </c>
      <c r="E194" s="1" t="s">
        <v>195</v>
      </c>
      <c r="F194" s="1" t="s">
        <v>196</v>
      </c>
      <c r="G194" s="1" t="s">
        <v>173</v>
      </c>
    </row>
    <row r="195" spans="1:7" x14ac:dyDescent="0.25">
      <c r="A195" s="1">
        <v>37159</v>
      </c>
      <c r="B195" s="1" t="s">
        <v>178</v>
      </c>
      <c r="C195" s="1" t="s">
        <v>472</v>
      </c>
      <c r="D195" s="1" t="s">
        <v>188</v>
      </c>
      <c r="E195" s="1" t="s">
        <v>195</v>
      </c>
      <c r="F195" s="1" t="s">
        <v>197</v>
      </c>
      <c r="G195" s="1" t="s">
        <v>173</v>
      </c>
    </row>
    <row r="196" spans="1:7" x14ac:dyDescent="0.25">
      <c r="A196" s="1">
        <v>37384</v>
      </c>
      <c r="B196" s="1" t="s">
        <v>178</v>
      </c>
      <c r="C196" s="1" t="s">
        <v>472</v>
      </c>
      <c r="D196" s="1" t="s">
        <v>188</v>
      </c>
      <c r="E196" s="1" t="s">
        <v>198</v>
      </c>
      <c r="F196" s="1" t="s">
        <v>199</v>
      </c>
      <c r="G196" s="1" t="s">
        <v>173</v>
      </c>
    </row>
    <row r="197" spans="1:7" x14ac:dyDescent="0.25">
      <c r="A197" s="1">
        <v>37385</v>
      </c>
      <c r="B197" s="1" t="s">
        <v>178</v>
      </c>
      <c r="C197" s="1" t="s">
        <v>472</v>
      </c>
      <c r="D197" s="1" t="s">
        <v>188</v>
      </c>
      <c r="E197" s="1" t="s">
        <v>198</v>
      </c>
      <c r="F197" s="1" t="s">
        <v>200</v>
      </c>
      <c r="G197" s="1" t="s">
        <v>173</v>
      </c>
    </row>
    <row r="198" spans="1:7" x14ac:dyDescent="0.25">
      <c r="A198" s="1">
        <v>37164</v>
      </c>
      <c r="B198" s="1" t="s">
        <v>178</v>
      </c>
      <c r="C198" s="1" t="s">
        <v>472</v>
      </c>
      <c r="D198" s="1" t="s">
        <v>201</v>
      </c>
      <c r="E198" s="1" t="s">
        <v>202</v>
      </c>
      <c r="F198" s="1" t="s">
        <v>203</v>
      </c>
      <c r="G198" s="1" t="s">
        <v>173</v>
      </c>
    </row>
    <row r="199" spans="1:7" x14ac:dyDescent="0.25">
      <c r="A199" s="1">
        <v>37165</v>
      </c>
      <c r="B199" s="1" t="s">
        <v>178</v>
      </c>
      <c r="C199" s="1" t="s">
        <v>472</v>
      </c>
      <c r="D199" s="1" t="s">
        <v>201</v>
      </c>
      <c r="E199" s="1" t="s">
        <v>202</v>
      </c>
      <c r="F199" s="1" t="s">
        <v>204</v>
      </c>
      <c r="G199" s="1" t="s">
        <v>173</v>
      </c>
    </row>
    <row r="200" spans="1:7" x14ac:dyDescent="0.25">
      <c r="A200" s="1">
        <v>37166</v>
      </c>
      <c r="B200" s="1" t="s">
        <v>178</v>
      </c>
      <c r="C200" s="1" t="s">
        <v>472</v>
      </c>
      <c r="D200" s="1" t="s">
        <v>201</v>
      </c>
      <c r="E200" s="1" t="s">
        <v>202</v>
      </c>
      <c r="F200" s="1" t="s">
        <v>205</v>
      </c>
      <c r="G200" s="1" t="s">
        <v>173</v>
      </c>
    </row>
    <row r="201" spans="1:7" x14ac:dyDescent="0.25">
      <c r="A201" s="1">
        <v>37169</v>
      </c>
      <c r="B201" s="1" t="s">
        <v>178</v>
      </c>
      <c r="C201" s="1" t="s">
        <v>472</v>
      </c>
      <c r="D201" s="1" t="s">
        <v>206</v>
      </c>
      <c r="E201" s="1" t="s">
        <v>207</v>
      </c>
      <c r="F201" s="1" t="s">
        <v>208</v>
      </c>
      <c r="G201" s="1" t="s">
        <v>173</v>
      </c>
    </row>
    <row r="202" spans="1:7" x14ac:dyDescent="0.25">
      <c r="A202" s="1">
        <v>37170</v>
      </c>
      <c r="B202" s="1" t="s">
        <v>178</v>
      </c>
      <c r="C202" s="1" t="s">
        <v>472</v>
      </c>
      <c r="D202" s="1" t="s">
        <v>206</v>
      </c>
      <c r="E202" s="1" t="s">
        <v>207</v>
      </c>
      <c r="F202" s="1" t="s">
        <v>209</v>
      </c>
      <c r="G202" s="1" t="s">
        <v>173</v>
      </c>
    </row>
    <row r="203" spans="1:7" x14ac:dyDescent="0.25">
      <c r="A203" s="1">
        <v>37171</v>
      </c>
      <c r="B203" s="1" t="s">
        <v>178</v>
      </c>
      <c r="C203" s="1" t="s">
        <v>472</v>
      </c>
      <c r="D203" s="1" t="s">
        <v>206</v>
      </c>
      <c r="E203" s="1" t="s">
        <v>207</v>
      </c>
      <c r="F203" s="1" t="s">
        <v>210</v>
      </c>
      <c r="G203" s="1" t="s">
        <v>173</v>
      </c>
    </row>
    <row r="204" spans="1:7" x14ac:dyDescent="0.25">
      <c r="A204" s="1">
        <v>37172</v>
      </c>
      <c r="B204" s="1" t="s">
        <v>178</v>
      </c>
      <c r="C204" s="1" t="s">
        <v>472</v>
      </c>
      <c r="D204" s="1" t="s">
        <v>206</v>
      </c>
      <c r="E204" s="1" t="s">
        <v>207</v>
      </c>
      <c r="F204" s="1" t="s">
        <v>211</v>
      </c>
      <c r="G204" s="1" t="s">
        <v>173</v>
      </c>
    </row>
    <row r="205" spans="1:7" x14ac:dyDescent="0.25">
      <c r="A205" s="1">
        <v>37174</v>
      </c>
      <c r="B205" s="1" t="s">
        <v>178</v>
      </c>
      <c r="C205" s="1" t="s">
        <v>472</v>
      </c>
      <c r="D205" s="1" t="s">
        <v>206</v>
      </c>
      <c r="E205" s="1" t="s">
        <v>212</v>
      </c>
      <c r="F205" s="1" t="s">
        <v>213</v>
      </c>
      <c r="G205" s="1" t="s">
        <v>173</v>
      </c>
    </row>
    <row r="206" spans="1:7" x14ac:dyDescent="0.25">
      <c r="A206" s="1">
        <v>37175</v>
      </c>
      <c r="B206" s="1" t="s">
        <v>178</v>
      </c>
      <c r="C206" s="1" t="s">
        <v>472</v>
      </c>
      <c r="D206" s="1" t="s">
        <v>206</v>
      </c>
      <c r="E206" s="1" t="s">
        <v>212</v>
      </c>
      <c r="F206" s="1" t="s">
        <v>214</v>
      </c>
      <c r="G206" s="1" t="s">
        <v>173</v>
      </c>
    </row>
    <row r="207" spans="1:7" x14ac:dyDescent="0.25">
      <c r="A207" s="1">
        <v>37176</v>
      </c>
      <c r="B207" s="1" t="s">
        <v>178</v>
      </c>
      <c r="C207" s="1" t="s">
        <v>472</v>
      </c>
      <c r="D207" s="1" t="s">
        <v>206</v>
      </c>
      <c r="E207" s="1" t="s">
        <v>212</v>
      </c>
      <c r="F207" s="1" t="s">
        <v>215</v>
      </c>
      <c r="G207" s="1" t="s">
        <v>173</v>
      </c>
    </row>
    <row r="208" spans="1:7" x14ac:dyDescent="0.25">
      <c r="A208" s="1">
        <v>37179</v>
      </c>
      <c r="B208" s="1" t="s">
        <v>178</v>
      </c>
      <c r="C208" s="1" t="s">
        <v>472</v>
      </c>
      <c r="D208" s="1" t="s">
        <v>216</v>
      </c>
      <c r="E208" s="1" t="s">
        <v>217</v>
      </c>
      <c r="F208" s="1" t="s">
        <v>475</v>
      </c>
      <c r="G208" s="1" t="s">
        <v>173</v>
      </c>
    </row>
    <row r="209" spans="1:7" x14ac:dyDescent="0.25">
      <c r="A209" s="1">
        <v>37180</v>
      </c>
      <c r="B209" s="1" t="s">
        <v>178</v>
      </c>
      <c r="C209" s="1" t="s">
        <v>472</v>
      </c>
      <c r="D209" s="1" t="s">
        <v>216</v>
      </c>
      <c r="E209" s="1" t="s">
        <v>217</v>
      </c>
      <c r="F209" s="1" t="s">
        <v>476</v>
      </c>
      <c r="G209" s="1" t="s">
        <v>173</v>
      </c>
    </row>
    <row r="210" spans="1:7" x14ac:dyDescent="0.25">
      <c r="A210" s="1">
        <v>37181</v>
      </c>
      <c r="B210" s="1" t="s">
        <v>178</v>
      </c>
      <c r="C210" s="1" t="s">
        <v>472</v>
      </c>
      <c r="D210" s="1" t="s">
        <v>216</v>
      </c>
      <c r="E210" s="1" t="s">
        <v>217</v>
      </c>
      <c r="F210" s="1" t="s">
        <v>477</v>
      </c>
      <c r="G210" s="1" t="s">
        <v>173</v>
      </c>
    </row>
    <row r="211" spans="1:7" x14ac:dyDescent="0.25">
      <c r="A211" s="1">
        <v>58567</v>
      </c>
      <c r="B211" s="1" t="s">
        <v>178</v>
      </c>
      <c r="C211" s="1" t="s">
        <v>472</v>
      </c>
      <c r="D211" s="1" t="s">
        <v>216</v>
      </c>
      <c r="E211" s="1" t="s">
        <v>221</v>
      </c>
      <c r="F211" s="1" t="s">
        <v>222</v>
      </c>
      <c r="G211" s="1" t="s">
        <v>173</v>
      </c>
    </row>
    <row r="212" spans="1:7" x14ac:dyDescent="0.25">
      <c r="A212" s="1">
        <v>58568</v>
      </c>
      <c r="B212" s="1" t="s">
        <v>178</v>
      </c>
      <c r="C212" s="1" t="s">
        <v>472</v>
      </c>
      <c r="D212" s="1" t="s">
        <v>216</v>
      </c>
      <c r="E212" s="1" t="s">
        <v>221</v>
      </c>
      <c r="F212" s="1" t="s">
        <v>223</v>
      </c>
      <c r="G212" s="1" t="s">
        <v>173</v>
      </c>
    </row>
    <row r="213" spans="1:7" x14ac:dyDescent="0.25">
      <c r="A213" s="1">
        <v>58569</v>
      </c>
      <c r="B213" s="1" t="s">
        <v>178</v>
      </c>
      <c r="C213" s="1" t="s">
        <v>472</v>
      </c>
      <c r="D213" s="1" t="s">
        <v>216</v>
      </c>
      <c r="E213" s="1" t="s">
        <v>224</v>
      </c>
      <c r="F213" s="1" t="s">
        <v>225</v>
      </c>
      <c r="G213" s="1" t="s">
        <v>173</v>
      </c>
    </row>
    <row r="214" spans="1:7" x14ac:dyDescent="0.25">
      <c r="A214" s="1">
        <v>58570</v>
      </c>
      <c r="B214" s="1" t="s">
        <v>178</v>
      </c>
      <c r="C214" s="1" t="s">
        <v>472</v>
      </c>
      <c r="D214" s="1" t="s">
        <v>216</v>
      </c>
      <c r="E214" s="1" t="s">
        <v>224</v>
      </c>
      <c r="F214" s="1" t="s">
        <v>226</v>
      </c>
      <c r="G214" s="1" t="s">
        <v>173</v>
      </c>
    </row>
    <row r="215" spans="1:7" x14ac:dyDescent="0.25">
      <c r="A215" s="1">
        <v>58571</v>
      </c>
      <c r="B215" s="1" t="s">
        <v>178</v>
      </c>
      <c r="C215" s="1" t="s">
        <v>472</v>
      </c>
      <c r="D215" s="1" t="s">
        <v>216</v>
      </c>
      <c r="E215" s="1" t="s">
        <v>224</v>
      </c>
      <c r="F215" s="1" t="s">
        <v>227</v>
      </c>
      <c r="G215" s="1" t="s">
        <v>173</v>
      </c>
    </row>
    <row r="216" spans="1:7" x14ac:dyDescent="0.25">
      <c r="A216" s="1">
        <v>37184</v>
      </c>
      <c r="B216" s="1" t="s">
        <v>178</v>
      </c>
      <c r="C216" s="1" t="s">
        <v>472</v>
      </c>
      <c r="D216" s="1" t="s">
        <v>228</v>
      </c>
      <c r="E216" s="1" t="s">
        <v>229</v>
      </c>
      <c r="F216" s="1" t="s">
        <v>230</v>
      </c>
      <c r="G216" s="1" t="s">
        <v>173</v>
      </c>
    </row>
    <row r="217" spans="1:7" x14ac:dyDescent="0.25">
      <c r="A217" s="1">
        <v>37185</v>
      </c>
      <c r="B217" s="1" t="s">
        <v>178</v>
      </c>
      <c r="C217" s="1" t="s">
        <v>472</v>
      </c>
      <c r="D217" s="1" t="s">
        <v>228</v>
      </c>
      <c r="E217" s="1" t="s">
        <v>229</v>
      </c>
      <c r="F217" s="1" t="s">
        <v>231</v>
      </c>
      <c r="G217" s="1" t="s">
        <v>173</v>
      </c>
    </row>
    <row r="218" spans="1:7" x14ac:dyDescent="0.25">
      <c r="A218" s="1">
        <v>37186</v>
      </c>
      <c r="B218" s="1" t="s">
        <v>178</v>
      </c>
      <c r="C218" s="1" t="s">
        <v>472</v>
      </c>
      <c r="D218" s="1" t="s">
        <v>228</v>
      </c>
      <c r="E218" s="1" t="s">
        <v>229</v>
      </c>
      <c r="F218" s="1" t="s">
        <v>232</v>
      </c>
      <c r="G218" s="1" t="s">
        <v>173</v>
      </c>
    </row>
    <row r="219" spans="1:7" x14ac:dyDescent="0.25">
      <c r="A219" s="1">
        <v>37187</v>
      </c>
      <c r="B219" s="1" t="s">
        <v>178</v>
      </c>
      <c r="C219" s="1" t="s">
        <v>472</v>
      </c>
      <c r="D219" s="1" t="s">
        <v>228</v>
      </c>
      <c r="E219" s="1" t="s">
        <v>229</v>
      </c>
      <c r="F219" s="1" t="s">
        <v>233</v>
      </c>
      <c r="G219" s="1" t="s">
        <v>173</v>
      </c>
    </row>
    <row r="220" spans="1:7" x14ac:dyDescent="0.25">
      <c r="A220" s="1">
        <v>37189</v>
      </c>
      <c r="B220" s="1" t="s">
        <v>178</v>
      </c>
      <c r="C220" s="1" t="s">
        <v>472</v>
      </c>
      <c r="D220" s="1" t="s">
        <v>228</v>
      </c>
      <c r="E220" s="1" t="s">
        <v>234</v>
      </c>
      <c r="F220" s="1" t="s">
        <v>235</v>
      </c>
      <c r="G220" s="1" t="s">
        <v>173</v>
      </c>
    </row>
    <row r="221" spans="1:7" x14ac:dyDescent="0.25">
      <c r="A221" s="1">
        <v>37190</v>
      </c>
      <c r="B221" s="1" t="s">
        <v>178</v>
      </c>
      <c r="C221" s="1" t="s">
        <v>472</v>
      </c>
      <c r="D221" s="1" t="s">
        <v>228</v>
      </c>
      <c r="E221" s="1" t="s">
        <v>234</v>
      </c>
      <c r="F221" s="1" t="s">
        <v>236</v>
      </c>
      <c r="G221" s="1" t="s">
        <v>173</v>
      </c>
    </row>
    <row r="222" spans="1:7" x14ac:dyDescent="0.25">
      <c r="A222" s="1">
        <v>48087</v>
      </c>
      <c r="B222" s="1" t="s">
        <v>178</v>
      </c>
      <c r="C222" s="1" t="s">
        <v>472</v>
      </c>
      <c r="D222" s="1" t="s">
        <v>228</v>
      </c>
      <c r="E222" s="1" t="s">
        <v>237</v>
      </c>
      <c r="F222" s="1" t="s">
        <v>238</v>
      </c>
      <c r="G222" s="1" t="s">
        <v>173</v>
      </c>
    </row>
    <row r="223" spans="1:7" x14ac:dyDescent="0.25">
      <c r="A223" s="1">
        <v>48494</v>
      </c>
      <c r="B223" s="1" t="s">
        <v>178</v>
      </c>
      <c r="C223" s="1" t="s">
        <v>472</v>
      </c>
      <c r="D223" s="1" t="s">
        <v>228</v>
      </c>
      <c r="E223" s="1" t="s">
        <v>237</v>
      </c>
      <c r="F223" s="1" t="s">
        <v>239</v>
      </c>
      <c r="G223" s="1" t="s">
        <v>173</v>
      </c>
    </row>
    <row r="224" spans="1:7" x14ac:dyDescent="0.25">
      <c r="A224" s="1">
        <v>48088</v>
      </c>
      <c r="B224" s="1" t="s">
        <v>178</v>
      </c>
      <c r="C224" s="1" t="s">
        <v>472</v>
      </c>
      <c r="D224" s="1" t="s">
        <v>228</v>
      </c>
      <c r="E224" s="1" t="s">
        <v>240</v>
      </c>
      <c r="F224" s="1" t="s">
        <v>241</v>
      </c>
      <c r="G224" s="1" t="s">
        <v>173</v>
      </c>
    </row>
    <row r="225" spans="1:7" x14ac:dyDescent="0.25">
      <c r="A225" s="1">
        <v>48496</v>
      </c>
      <c r="B225" s="1" t="s">
        <v>178</v>
      </c>
      <c r="C225" s="1" t="s">
        <v>472</v>
      </c>
      <c r="D225" s="1" t="s">
        <v>228</v>
      </c>
      <c r="E225" s="1" t="s">
        <v>240</v>
      </c>
      <c r="F225" s="1" t="s">
        <v>242</v>
      </c>
      <c r="G225" s="1" t="s">
        <v>173</v>
      </c>
    </row>
    <row r="226" spans="1:7" x14ac:dyDescent="0.25">
      <c r="A226" s="1">
        <v>37196</v>
      </c>
      <c r="B226" s="1" t="s">
        <v>178</v>
      </c>
      <c r="C226" s="1" t="s">
        <v>472</v>
      </c>
      <c r="D226" s="1" t="s">
        <v>243</v>
      </c>
      <c r="E226" s="1" t="s">
        <v>244</v>
      </c>
      <c r="F226" s="1" t="s">
        <v>245</v>
      </c>
      <c r="G226" s="1" t="s">
        <v>173</v>
      </c>
    </row>
    <row r="227" spans="1:7" x14ac:dyDescent="0.25">
      <c r="A227" s="1">
        <v>37197</v>
      </c>
      <c r="B227" s="1" t="s">
        <v>178</v>
      </c>
      <c r="C227" s="1" t="s">
        <v>472</v>
      </c>
      <c r="D227" s="1" t="s">
        <v>243</v>
      </c>
      <c r="E227" s="1" t="s">
        <v>244</v>
      </c>
      <c r="F227" s="1" t="s">
        <v>246</v>
      </c>
      <c r="G227" s="1" t="s">
        <v>173</v>
      </c>
    </row>
    <row r="228" spans="1:7" x14ac:dyDescent="0.25">
      <c r="A228" s="1">
        <v>37193</v>
      </c>
      <c r="B228" s="1" t="s">
        <v>178</v>
      </c>
      <c r="C228" s="1" t="s">
        <v>472</v>
      </c>
      <c r="D228" s="1" t="s">
        <v>243</v>
      </c>
      <c r="E228" s="1" t="s">
        <v>247</v>
      </c>
      <c r="F228" s="1" t="s">
        <v>248</v>
      </c>
      <c r="G228" s="1" t="s">
        <v>173</v>
      </c>
    </row>
    <row r="229" spans="1:7" x14ac:dyDescent="0.25">
      <c r="A229" s="1">
        <v>37194</v>
      </c>
      <c r="B229" s="1" t="s">
        <v>178</v>
      </c>
      <c r="C229" s="1" t="s">
        <v>472</v>
      </c>
      <c r="D229" s="1" t="s">
        <v>243</v>
      </c>
      <c r="E229" s="1" t="s">
        <v>247</v>
      </c>
      <c r="F229" s="1" t="s">
        <v>249</v>
      </c>
      <c r="G229" s="1" t="s">
        <v>173</v>
      </c>
    </row>
    <row r="230" spans="1:7" x14ac:dyDescent="0.25">
      <c r="A230" s="1">
        <v>37203</v>
      </c>
      <c r="B230" s="1" t="s">
        <v>178</v>
      </c>
      <c r="C230" s="1" t="s">
        <v>472</v>
      </c>
      <c r="D230" s="1" t="s">
        <v>250</v>
      </c>
      <c r="E230" s="1" t="s">
        <v>251</v>
      </c>
      <c r="F230" s="1" t="s">
        <v>478</v>
      </c>
      <c r="G230" s="1" t="s">
        <v>173</v>
      </c>
    </row>
    <row r="231" spans="1:7" x14ac:dyDescent="0.25">
      <c r="A231" s="1">
        <v>37206</v>
      </c>
      <c r="B231" s="1" t="s">
        <v>178</v>
      </c>
      <c r="C231" s="1" t="s">
        <v>472</v>
      </c>
      <c r="D231" s="1" t="s">
        <v>60</v>
      </c>
      <c r="E231" s="1" t="s">
        <v>253</v>
      </c>
      <c r="F231" s="1" t="s">
        <v>254</v>
      </c>
      <c r="G231" s="1" t="s">
        <v>173</v>
      </c>
    </row>
    <row r="232" spans="1:7" x14ac:dyDescent="0.25">
      <c r="A232" s="1">
        <v>37207</v>
      </c>
      <c r="B232" s="1" t="s">
        <v>178</v>
      </c>
      <c r="C232" s="1" t="s">
        <v>472</v>
      </c>
      <c r="D232" s="1" t="s">
        <v>60</v>
      </c>
      <c r="E232" s="1" t="s">
        <v>253</v>
      </c>
      <c r="F232" s="1" t="s">
        <v>255</v>
      </c>
      <c r="G232" s="1" t="s">
        <v>173</v>
      </c>
    </row>
    <row r="233" spans="1:7" x14ac:dyDescent="0.25">
      <c r="A233" s="1">
        <v>37208</v>
      </c>
      <c r="B233" s="1" t="s">
        <v>178</v>
      </c>
      <c r="C233" s="1" t="s">
        <v>472</v>
      </c>
      <c r="D233" s="1" t="s">
        <v>60</v>
      </c>
      <c r="E233" s="1" t="s">
        <v>253</v>
      </c>
      <c r="F233" s="1" t="s">
        <v>256</v>
      </c>
      <c r="G233" s="1" t="s">
        <v>173</v>
      </c>
    </row>
    <row r="234" spans="1:7" x14ac:dyDescent="0.25">
      <c r="A234" s="1">
        <v>37209</v>
      </c>
      <c r="B234" s="1" t="s">
        <v>178</v>
      </c>
      <c r="C234" s="1" t="s">
        <v>472</v>
      </c>
      <c r="D234" s="1" t="s">
        <v>60</v>
      </c>
      <c r="E234" s="1" t="s">
        <v>253</v>
      </c>
      <c r="F234" s="1" t="s">
        <v>257</v>
      </c>
      <c r="G234" s="1" t="s">
        <v>173</v>
      </c>
    </row>
    <row r="235" spans="1:7" x14ac:dyDescent="0.25">
      <c r="A235" s="1">
        <v>37212</v>
      </c>
      <c r="B235" s="1" t="s">
        <v>178</v>
      </c>
      <c r="C235" s="1" t="s">
        <v>472</v>
      </c>
      <c r="D235" s="1" t="s">
        <v>258</v>
      </c>
      <c r="E235" s="1" t="s">
        <v>259</v>
      </c>
      <c r="F235" s="1" t="s">
        <v>260</v>
      </c>
      <c r="G235" s="1" t="s">
        <v>173</v>
      </c>
    </row>
    <row r="236" spans="1:7" x14ac:dyDescent="0.25">
      <c r="A236" s="1">
        <v>37221</v>
      </c>
      <c r="B236" s="1" t="s">
        <v>178</v>
      </c>
      <c r="C236" s="1" t="s">
        <v>472</v>
      </c>
      <c r="D236" s="1" t="s">
        <v>261</v>
      </c>
      <c r="E236" s="1" t="s">
        <v>262</v>
      </c>
      <c r="F236" s="1" t="s">
        <v>263</v>
      </c>
      <c r="G236" s="1" t="s">
        <v>173</v>
      </c>
    </row>
    <row r="237" spans="1:7" x14ac:dyDescent="0.25">
      <c r="A237" s="1">
        <v>37222</v>
      </c>
      <c r="B237" s="1" t="s">
        <v>178</v>
      </c>
      <c r="C237" s="1" t="s">
        <v>472</v>
      </c>
      <c r="D237" s="1" t="s">
        <v>261</v>
      </c>
      <c r="E237" s="1" t="s">
        <v>262</v>
      </c>
      <c r="F237" s="1" t="s">
        <v>264</v>
      </c>
      <c r="G237" s="1" t="s">
        <v>173</v>
      </c>
    </row>
    <row r="238" spans="1:7" x14ac:dyDescent="0.25">
      <c r="A238" s="1">
        <v>37223</v>
      </c>
      <c r="B238" s="1" t="s">
        <v>178</v>
      </c>
      <c r="C238" s="1" t="s">
        <v>472</v>
      </c>
      <c r="D238" s="1" t="s">
        <v>261</v>
      </c>
      <c r="E238" s="1" t="s">
        <v>262</v>
      </c>
      <c r="F238" s="1" t="s">
        <v>265</v>
      </c>
      <c r="G238" s="1" t="s">
        <v>173</v>
      </c>
    </row>
    <row r="239" spans="1:7" x14ac:dyDescent="0.25">
      <c r="A239" s="1">
        <v>37231</v>
      </c>
      <c r="B239" s="1" t="s">
        <v>178</v>
      </c>
      <c r="C239" s="1" t="s">
        <v>472</v>
      </c>
      <c r="D239" s="1" t="s">
        <v>261</v>
      </c>
      <c r="E239" s="1" t="s">
        <v>266</v>
      </c>
      <c r="F239" s="1" t="s">
        <v>267</v>
      </c>
      <c r="G239" s="1" t="s">
        <v>173</v>
      </c>
    </row>
    <row r="240" spans="1:7" x14ac:dyDescent="0.25">
      <c r="A240" s="1">
        <v>37232</v>
      </c>
      <c r="B240" s="1" t="s">
        <v>178</v>
      </c>
      <c r="C240" s="1" t="s">
        <v>472</v>
      </c>
      <c r="D240" s="1" t="s">
        <v>261</v>
      </c>
      <c r="E240" s="1" t="s">
        <v>266</v>
      </c>
      <c r="F240" s="1" t="s">
        <v>268</v>
      </c>
      <c r="G240" s="1" t="s">
        <v>173</v>
      </c>
    </row>
    <row r="241" spans="1:7" x14ac:dyDescent="0.25">
      <c r="A241" s="1">
        <v>37215</v>
      </c>
      <c r="B241" s="1" t="s">
        <v>178</v>
      </c>
      <c r="C241" s="1" t="s">
        <v>472</v>
      </c>
      <c r="D241" s="1" t="s">
        <v>261</v>
      </c>
      <c r="E241" s="1" t="s">
        <v>269</v>
      </c>
      <c r="F241" s="1" t="s">
        <v>270</v>
      </c>
      <c r="G241" s="1" t="s">
        <v>173</v>
      </c>
    </row>
    <row r="242" spans="1:7" x14ac:dyDescent="0.25">
      <c r="A242" s="1">
        <v>37216</v>
      </c>
      <c r="B242" s="1" t="s">
        <v>178</v>
      </c>
      <c r="C242" s="1" t="s">
        <v>472</v>
      </c>
      <c r="D242" s="1" t="s">
        <v>261</v>
      </c>
      <c r="E242" s="1" t="s">
        <v>269</v>
      </c>
      <c r="F242" s="1" t="s">
        <v>271</v>
      </c>
      <c r="G242" s="1" t="s">
        <v>173</v>
      </c>
    </row>
    <row r="243" spans="1:7" x14ac:dyDescent="0.25">
      <c r="A243" s="1">
        <v>37225</v>
      </c>
      <c r="B243" s="1" t="s">
        <v>178</v>
      </c>
      <c r="C243" s="1" t="s">
        <v>472</v>
      </c>
      <c r="D243" s="1" t="s">
        <v>261</v>
      </c>
      <c r="E243" s="1" t="s">
        <v>272</v>
      </c>
      <c r="F243" s="1" t="s">
        <v>273</v>
      </c>
      <c r="G243" s="1" t="s">
        <v>173</v>
      </c>
    </row>
    <row r="244" spans="1:7" x14ac:dyDescent="0.25">
      <c r="A244" s="1">
        <v>37226</v>
      </c>
      <c r="B244" s="1" t="s">
        <v>178</v>
      </c>
      <c r="C244" s="1" t="s">
        <v>472</v>
      </c>
      <c r="D244" s="1" t="s">
        <v>261</v>
      </c>
      <c r="E244" s="1" t="s">
        <v>272</v>
      </c>
      <c r="F244" s="1" t="s">
        <v>274</v>
      </c>
      <c r="G244" s="1" t="s">
        <v>173</v>
      </c>
    </row>
    <row r="245" spans="1:7" x14ac:dyDescent="0.25">
      <c r="A245" s="1">
        <v>37227</v>
      </c>
      <c r="B245" s="1" t="s">
        <v>178</v>
      </c>
      <c r="C245" s="1" t="s">
        <v>472</v>
      </c>
      <c r="D245" s="1" t="s">
        <v>261</v>
      </c>
      <c r="E245" s="1" t="s">
        <v>272</v>
      </c>
      <c r="F245" s="1" t="s">
        <v>275</v>
      </c>
      <c r="G245" s="1" t="s">
        <v>173</v>
      </c>
    </row>
    <row r="246" spans="1:7" x14ac:dyDescent="0.25">
      <c r="A246" s="1">
        <v>37228</v>
      </c>
      <c r="B246" s="1" t="s">
        <v>178</v>
      </c>
      <c r="C246" s="1" t="s">
        <v>472</v>
      </c>
      <c r="D246" s="1" t="s">
        <v>261</v>
      </c>
      <c r="E246" s="1" t="s">
        <v>272</v>
      </c>
      <c r="F246" s="1" t="s">
        <v>276</v>
      </c>
      <c r="G246" s="1" t="s">
        <v>173</v>
      </c>
    </row>
    <row r="247" spans="1:7" x14ac:dyDescent="0.25">
      <c r="A247" s="1">
        <v>37229</v>
      </c>
      <c r="B247" s="1" t="s">
        <v>178</v>
      </c>
      <c r="C247" s="1" t="s">
        <v>472</v>
      </c>
      <c r="D247" s="1" t="s">
        <v>261</v>
      </c>
      <c r="E247" s="1" t="s">
        <v>272</v>
      </c>
      <c r="F247" s="1" t="s">
        <v>277</v>
      </c>
      <c r="G247" s="1" t="s">
        <v>173</v>
      </c>
    </row>
    <row r="248" spans="1:7" x14ac:dyDescent="0.25">
      <c r="A248" s="1">
        <v>37234</v>
      </c>
      <c r="B248" s="1" t="s">
        <v>178</v>
      </c>
      <c r="C248" s="1" t="s">
        <v>472</v>
      </c>
      <c r="D248" s="1" t="s">
        <v>261</v>
      </c>
      <c r="E248" s="1" t="s">
        <v>278</v>
      </c>
      <c r="F248" s="1" t="s">
        <v>279</v>
      </c>
      <c r="G248" s="1" t="s">
        <v>173</v>
      </c>
    </row>
    <row r="249" spans="1:7" x14ac:dyDescent="0.25">
      <c r="A249" s="1">
        <v>37235</v>
      </c>
      <c r="B249" s="1" t="s">
        <v>178</v>
      </c>
      <c r="C249" s="1" t="s">
        <v>472</v>
      </c>
      <c r="D249" s="1" t="s">
        <v>261</v>
      </c>
      <c r="E249" s="1" t="s">
        <v>278</v>
      </c>
      <c r="F249" s="1" t="s">
        <v>280</v>
      </c>
      <c r="G249" s="1" t="s">
        <v>173</v>
      </c>
    </row>
    <row r="250" spans="1:7" x14ac:dyDescent="0.25">
      <c r="A250" s="1">
        <v>37218</v>
      </c>
      <c r="B250" s="1" t="s">
        <v>178</v>
      </c>
      <c r="C250" s="1" t="s">
        <v>472</v>
      </c>
      <c r="D250" s="1" t="s">
        <v>261</v>
      </c>
      <c r="E250" s="1" t="s">
        <v>281</v>
      </c>
      <c r="F250" s="1" t="s">
        <v>282</v>
      </c>
      <c r="G250" s="1" t="s">
        <v>173</v>
      </c>
    </row>
    <row r="251" spans="1:7" x14ac:dyDescent="0.25">
      <c r="A251" s="1">
        <v>37219</v>
      </c>
      <c r="B251" s="1" t="s">
        <v>178</v>
      </c>
      <c r="C251" s="1" t="s">
        <v>472</v>
      </c>
      <c r="D251" s="1" t="s">
        <v>261</v>
      </c>
      <c r="E251" s="1" t="s">
        <v>281</v>
      </c>
      <c r="F251" s="1" t="s">
        <v>283</v>
      </c>
      <c r="G251" s="1" t="s">
        <v>173</v>
      </c>
    </row>
    <row r="252" spans="1:7" x14ac:dyDescent="0.25">
      <c r="A252" s="1">
        <v>36881</v>
      </c>
      <c r="B252" s="1" t="s">
        <v>178</v>
      </c>
      <c r="C252" s="1" t="s">
        <v>472</v>
      </c>
      <c r="D252" s="1" t="s">
        <v>284</v>
      </c>
      <c r="E252" s="1" t="s">
        <v>285</v>
      </c>
      <c r="F252" s="1" t="s">
        <v>286</v>
      </c>
      <c r="G252" s="1" t="s">
        <v>173</v>
      </c>
    </row>
    <row r="253" spans="1:7" x14ac:dyDescent="0.25">
      <c r="A253" s="1">
        <v>36882</v>
      </c>
      <c r="B253" s="1" t="s">
        <v>178</v>
      </c>
      <c r="C253" s="1" t="s">
        <v>472</v>
      </c>
      <c r="D253" s="1" t="s">
        <v>284</v>
      </c>
      <c r="E253" s="1" t="s">
        <v>285</v>
      </c>
      <c r="F253" s="1" t="s">
        <v>287</v>
      </c>
      <c r="G253" s="1" t="s">
        <v>173</v>
      </c>
    </row>
    <row r="254" spans="1:7" x14ac:dyDescent="0.25">
      <c r="A254" s="1">
        <v>37236</v>
      </c>
      <c r="B254" s="1" t="s">
        <v>178</v>
      </c>
      <c r="C254" s="1" t="s">
        <v>472</v>
      </c>
      <c r="D254" s="1" t="s">
        <v>284</v>
      </c>
      <c r="E254" s="1" t="s">
        <v>285</v>
      </c>
      <c r="F254" s="1" t="s">
        <v>288</v>
      </c>
      <c r="G254" s="1" t="s">
        <v>173</v>
      </c>
    </row>
    <row r="255" spans="1:7" x14ac:dyDescent="0.25">
      <c r="A255" s="1">
        <v>37237</v>
      </c>
      <c r="B255" s="1" t="s">
        <v>178</v>
      </c>
      <c r="C255" s="1" t="s">
        <v>472</v>
      </c>
      <c r="D255" s="1" t="s">
        <v>284</v>
      </c>
      <c r="E255" s="1" t="s">
        <v>285</v>
      </c>
      <c r="F255" s="1" t="s">
        <v>289</v>
      </c>
      <c r="G255" s="1" t="s">
        <v>173</v>
      </c>
    </row>
    <row r="256" spans="1:7" x14ac:dyDescent="0.25">
      <c r="A256" s="1">
        <v>37240</v>
      </c>
      <c r="B256" s="1" t="s">
        <v>178</v>
      </c>
      <c r="C256" s="1" t="s">
        <v>472</v>
      </c>
      <c r="D256" s="1" t="s">
        <v>290</v>
      </c>
      <c r="E256" s="1" t="s">
        <v>291</v>
      </c>
      <c r="F256" s="1" t="s">
        <v>292</v>
      </c>
      <c r="G256" s="1" t="s">
        <v>173</v>
      </c>
    </row>
    <row r="257" spans="1:7" x14ac:dyDescent="0.25">
      <c r="A257" s="1">
        <v>37243</v>
      </c>
      <c r="B257" s="1" t="s">
        <v>178</v>
      </c>
      <c r="C257" s="1" t="s">
        <v>472</v>
      </c>
      <c r="D257" s="1" t="s">
        <v>293</v>
      </c>
      <c r="E257" s="1" t="s">
        <v>294</v>
      </c>
      <c r="F257" s="1" t="s">
        <v>295</v>
      </c>
      <c r="G257" s="1" t="s">
        <v>173</v>
      </c>
    </row>
    <row r="258" spans="1:7" x14ac:dyDescent="0.25">
      <c r="A258" s="1">
        <v>37244</v>
      </c>
      <c r="B258" s="1" t="s">
        <v>178</v>
      </c>
      <c r="C258" s="1" t="s">
        <v>472</v>
      </c>
      <c r="D258" s="1" t="s">
        <v>293</v>
      </c>
      <c r="E258" s="1" t="s">
        <v>294</v>
      </c>
      <c r="F258" s="1" t="s">
        <v>296</v>
      </c>
      <c r="G258" s="1" t="s">
        <v>173</v>
      </c>
    </row>
    <row r="259" spans="1:7" x14ac:dyDescent="0.25">
      <c r="A259" s="1">
        <v>37251</v>
      </c>
      <c r="B259" s="1" t="s">
        <v>178</v>
      </c>
      <c r="C259" s="1" t="s">
        <v>472</v>
      </c>
      <c r="D259" s="1" t="s">
        <v>297</v>
      </c>
      <c r="E259" s="1" t="s">
        <v>298</v>
      </c>
      <c r="F259" s="1" t="s">
        <v>299</v>
      </c>
      <c r="G259" s="1" t="s">
        <v>173</v>
      </c>
    </row>
    <row r="260" spans="1:7" x14ac:dyDescent="0.25">
      <c r="A260" s="1">
        <v>37252</v>
      </c>
      <c r="B260" s="1" t="s">
        <v>178</v>
      </c>
      <c r="C260" s="1" t="s">
        <v>472</v>
      </c>
      <c r="D260" s="1" t="s">
        <v>297</v>
      </c>
      <c r="E260" s="1" t="s">
        <v>298</v>
      </c>
      <c r="F260" s="1" t="s">
        <v>300</v>
      </c>
      <c r="G260" s="1" t="s">
        <v>173</v>
      </c>
    </row>
    <row r="261" spans="1:7" x14ac:dyDescent="0.25">
      <c r="A261" s="1">
        <v>37247</v>
      </c>
      <c r="B261" s="1" t="s">
        <v>178</v>
      </c>
      <c r="C261" s="1" t="s">
        <v>472</v>
      </c>
      <c r="D261" s="1" t="s">
        <v>297</v>
      </c>
      <c r="E261" s="1" t="s">
        <v>301</v>
      </c>
      <c r="F261" s="1" t="s">
        <v>302</v>
      </c>
      <c r="G261" s="1" t="s">
        <v>173</v>
      </c>
    </row>
    <row r="262" spans="1:7" x14ac:dyDescent="0.25">
      <c r="A262" s="1">
        <v>37248</v>
      </c>
      <c r="B262" s="1" t="s">
        <v>178</v>
      </c>
      <c r="C262" s="1" t="s">
        <v>472</v>
      </c>
      <c r="D262" s="1" t="s">
        <v>297</v>
      </c>
      <c r="E262" s="1" t="s">
        <v>301</v>
      </c>
      <c r="F262" s="1" t="s">
        <v>303</v>
      </c>
      <c r="G262" s="1" t="s">
        <v>173</v>
      </c>
    </row>
    <row r="263" spans="1:7" x14ac:dyDescent="0.25">
      <c r="A263" s="1">
        <v>37249</v>
      </c>
      <c r="B263" s="1" t="s">
        <v>178</v>
      </c>
      <c r="C263" s="1" t="s">
        <v>472</v>
      </c>
      <c r="D263" s="1" t="s">
        <v>297</v>
      </c>
      <c r="E263" s="1" t="s">
        <v>301</v>
      </c>
      <c r="F263" s="1" t="s">
        <v>304</v>
      </c>
      <c r="G263" s="1" t="s">
        <v>173</v>
      </c>
    </row>
    <row r="264" spans="1:7" x14ac:dyDescent="0.25">
      <c r="A264" s="1">
        <v>37260</v>
      </c>
      <c r="B264" s="1" t="s">
        <v>178</v>
      </c>
      <c r="C264" s="1" t="s">
        <v>472</v>
      </c>
      <c r="D264" s="1" t="s">
        <v>297</v>
      </c>
      <c r="E264" s="1" t="s">
        <v>305</v>
      </c>
      <c r="F264" s="1" t="s">
        <v>306</v>
      </c>
      <c r="G264" s="1" t="s">
        <v>173</v>
      </c>
    </row>
    <row r="265" spans="1:7" x14ac:dyDescent="0.25">
      <c r="A265" s="1">
        <v>37261</v>
      </c>
      <c r="B265" s="1" t="s">
        <v>178</v>
      </c>
      <c r="C265" s="1" t="s">
        <v>472</v>
      </c>
      <c r="D265" s="1" t="s">
        <v>297</v>
      </c>
      <c r="E265" s="1" t="s">
        <v>305</v>
      </c>
      <c r="F265" s="1" t="s">
        <v>307</v>
      </c>
      <c r="G265" s="1" t="s">
        <v>173</v>
      </c>
    </row>
    <row r="266" spans="1:7" x14ac:dyDescent="0.25">
      <c r="A266" s="1">
        <v>49570</v>
      </c>
      <c r="B266" s="1" t="s">
        <v>178</v>
      </c>
      <c r="C266" s="1" t="s">
        <v>472</v>
      </c>
      <c r="D266" s="1" t="s">
        <v>297</v>
      </c>
      <c r="E266" s="1" t="s">
        <v>308</v>
      </c>
      <c r="F266" s="1" t="s">
        <v>309</v>
      </c>
      <c r="G266" s="1" t="s">
        <v>173</v>
      </c>
    </row>
    <row r="267" spans="1:7" x14ac:dyDescent="0.25">
      <c r="A267" s="1">
        <v>49571</v>
      </c>
      <c r="B267" s="1" t="s">
        <v>178</v>
      </c>
      <c r="C267" s="1" t="s">
        <v>472</v>
      </c>
      <c r="D267" s="1" t="s">
        <v>297</v>
      </c>
      <c r="E267" s="1" t="s">
        <v>308</v>
      </c>
      <c r="F267" s="1" t="s">
        <v>310</v>
      </c>
      <c r="G267" s="1" t="s">
        <v>173</v>
      </c>
    </row>
    <row r="268" spans="1:7" x14ac:dyDescent="0.25">
      <c r="A268" s="1">
        <v>37256</v>
      </c>
      <c r="B268" s="1" t="s">
        <v>178</v>
      </c>
      <c r="C268" s="1" t="s">
        <v>472</v>
      </c>
      <c r="D268" s="1" t="s">
        <v>297</v>
      </c>
      <c r="E268" s="1" t="s">
        <v>311</v>
      </c>
      <c r="F268" s="1" t="s">
        <v>312</v>
      </c>
      <c r="G268" s="1" t="s">
        <v>173</v>
      </c>
    </row>
    <row r="269" spans="1:7" x14ac:dyDescent="0.25">
      <c r="A269" s="1">
        <v>37257</v>
      </c>
      <c r="B269" s="1" t="s">
        <v>178</v>
      </c>
      <c r="C269" s="1" t="s">
        <v>472</v>
      </c>
      <c r="D269" s="1" t="s">
        <v>297</v>
      </c>
      <c r="E269" s="1" t="s">
        <v>311</v>
      </c>
      <c r="F269" s="1" t="s">
        <v>313</v>
      </c>
      <c r="G269" s="1" t="s">
        <v>173</v>
      </c>
    </row>
    <row r="270" spans="1:7" x14ac:dyDescent="0.25">
      <c r="A270" s="1">
        <v>37258</v>
      </c>
      <c r="B270" s="1" t="s">
        <v>178</v>
      </c>
      <c r="C270" s="1" t="s">
        <v>472</v>
      </c>
      <c r="D270" s="1" t="s">
        <v>297</v>
      </c>
      <c r="E270" s="1" t="s">
        <v>311</v>
      </c>
      <c r="F270" s="1" t="s">
        <v>314</v>
      </c>
      <c r="G270" s="1" t="s">
        <v>173</v>
      </c>
    </row>
    <row r="271" spans="1:7" x14ac:dyDescent="0.25">
      <c r="A271" s="1">
        <v>37269</v>
      </c>
      <c r="B271" s="1" t="s">
        <v>178</v>
      </c>
      <c r="C271" s="1" t="s">
        <v>472</v>
      </c>
      <c r="D271" s="1" t="s">
        <v>297</v>
      </c>
      <c r="E271" s="1" t="s">
        <v>315</v>
      </c>
      <c r="F271" s="1" t="s">
        <v>316</v>
      </c>
      <c r="G271" s="1" t="s">
        <v>173</v>
      </c>
    </row>
    <row r="272" spans="1:7" x14ac:dyDescent="0.25">
      <c r="A272" s="1">
        <v>37270</v>
      </c>
      <c r="B272" s="1" t="s">
        <v>178</v>
      </c>
      <c r="C272" s="1" t="s">
        <v>472</v>
      </c>
      <c r="D272" s="1" t="s">
        <v>297</v>
      </c>
      <c r="E272" s="1" t="s">
        <v>315</v>
      </c>
      <c r="F272" s="1" t="s">
        <v>317</v>
      </c>
      <c r="G272" s="1" t="s">
        <v>173</v>
      </c>
    </row>
    <row r="273" spans="1:7" x14ac:dyDescent="0.25">
      <c r="A273" s="1">
        <v>37271</v>
      </c>
      <c r="B273" s="1" t="s">
        <v>178</v>
      </c>
      <c r="C273" s="1" t="s">
        <v>472</v>
      </c>
      <c r="D273" s="1" t="s">
        <v>297</v>
      </c>
      <c r="E273" s="1" t="s">
        <v>315</v>
      </c>
      <c r="F273" s="1" t="s">
        <v>318</v>
      </c>
      <c r="G273" s="1" t="s">
        <v>173</v>
      </c>
    </row>
    <row r="274" spans="1:7" x14ac:dyDescent="0.25">
      <c r="A274" s="1">
        <v>37272</v>
      </c>
      <c r="B274" s="1" t="s">
        <v>178</v>
      </c>
      <c r="C274" s="1" t="s">
        <v>472</v>
      </c>
      <c r="D274" s="1" t="s">
        <v>297</v>
      </c>
      <c r="E274" s="1" t="s">
        <v>315</v>
      </c>
      <c r="F274" s="1" t="s">
        <v>319</v>
      </c>
      <c r="G274" s="1" t="s">
        <v>173</v>
      </c>
    </row>
    <row r="275" spans="1:7" x14ac:dyDescent="0.25">
      <c r="A275" s="1">
        <v>37273</v>
      </c>
      <c r="B275" s="1" t="s">
        <v>178</v>
      </c>
      <c r="C275" s="1" t="s">
        <v>472</v>
      </c>
      <c r="D275" s="1" t="s">
        <v>297</v>
      </c>
      <c r="E275" s="1" t="s">
        <v>315</v>
      </c>
      <c r="F275" s="1" t="s">
        <v>320</v>
      </c>
      <c r="G275" s="1" t="s">
        <v>173</v>
      </c>
    </row>
    <row r="276" spans="1:7" x14ac:dyDescent="0.25">
      <c r="A276" s="1">
        <v>37276</v>
      </c>
      <c r="B276" s="1" t="s">
        <v>178</v>
      </c>
      <c r="C276" s="1" t="s">
        <v>472</v>
      </c>
      <c r="D276" s="1" t="s">
        <v>321</v>
      </c>
      <c r="E276" s="1" t="s">
        <v>322</v>
      </c>
      <c r="F276" s="1" t="s">
        <v>323</v>
      </c>
      <c r="G276" s="1" t="s">
        <v>173</v>
      </c>
    </row>
    <row r="277" spans="1:7" x14ac:dyDescent="0.25">
      <c r="A277" s="1">
        <v>37277</v>
      </c>
      <c r="B277" s="1" t="s">
        <v>178</v>
      </c>
      <c r="C277" s="1" t="s">
        <v>472</v>
      </c>
      <c r="D277" s="1" t="s">
        <v>321</v>
      </c>
      <c r="E277" s="1" t="s">
        <v>322</v>
      </c>
      <c r="F277" s="1" t="s">
        <v>324</v>
      </c>
      <c r="G277" s="1" t="s">
        <v>173</v>
      </c>
    </row>
    <row r="278" spans="1:7" x14ac:dyDescent="0.25">
      <c r="A278" s="1">
        <v>37280</v>
      </c>
      <c r="B278" s="1" t="s">
        <v>178</v>
      </c>
      <c r="C278" s="1" t="s">
        <v>472</v>
      </c>
      <c r="D278" s="1" t="s">
        <v>325</v>
      </c>
      <c r="E278" s="1" t="s">
        <v>326</v>
      </c>
      <c r="F278" s="1" t="s">
        <v>327</v>
      </c>
      <c r="G278" s="1" t="s">
        <v>173</v>
      </c>
    </row>
    <row r="279" spans="1:7" x14ac:dyDescent="0.25">
      <c r="A279" s="1">
        <v>37281</v>
      </c>
      <c r="B279" s="1" t="s">
        <v>178</v>
      </c>
      <c r="C279" s="1" t="s">
        <v>472</v>
      </c>
      <c r="D279" s="1" t="s">
        <v>325</v>
      </c>
      <c r="E279" s="1" t="s">
        <v>326</v>
      </c>
      <c r="F279" s="1" t="s">
        <v>328</v>
      </c>
      <c r="G279" s="1" t="s">
        <v>173</v>
      </c>
    </row>
    <row r="280" spans="1:7" x14ac:dyDescent="0.25">
      <c r="A280" s="1">
        <v>37282</v>
      </c>
      <c r="B280" s="1" t="s">
        <v>178</v>
      </c>
      <c r="C280" s="1" t="s">
        <v>472</v>
      </c>
      <c r="D280" s="1" t="s">
        <v>325</v>
      </c>
      <c r="E280" s="1" t="s">
        <v>326</v>
      </c>
      <c r="F280" s="1" t="s">
        <v>329</v>
      </c>
      <c r="G280" s="1" t="s">
        <v>173</v>
      </c>
    </row>
    <row r="281" spans="1:7" x14ac:dyDescent="0.25">
      <c r="A281" s="1">
        <v>37284</v>
      </c>
      <c r="B281" s="1" t="s">
        <v>178</v>
      </c>
      <c r="C281" s="1" t="s">
        <v>472</v>
      </c>
      <c r="D281" s="1" t="s">
        <v>325</v>
      </c>
      <c r="E281" s="1" t="s">
        <v>330</v>
      </c>
      <c r="F281" s="1" t="s">
        <v>331</v>
      </c>
      <c r="G281" s="1" t="s">
        <v>173</v>
      </c>
    </row>
    <row r="282" spans="1:7" x14ac:dyDescent="0.25">
      <c r="A282" s="1">
        <v>37285</v>
      </c>
      <c r="B282" s="1" t="s">
        <v>178</v>
      </c>
      <c r="C282" s="1" t="s">
        <v>472</v>
      </c>
      <c r="D282" s="1" t="s">
        <v>325</v>
      </c>
      <c r="E282" s="1" t="s">
        <v>330</v>
      </c>
      <c r="F282" s="1" t="s">
        <v>332</v>
      </c>
      <c r="G282" s="1" t="s">
        <v>173</v>
      </c>
    </row>
    <row r="283" spans="1:7" x14ac:dyDescent="0.25">
      <c r="A283" s="1">
        <v>37286</v>
      </c>
      <c r="B283" s="1" t="s">
        <v>178</v>
      </c>
      <c r="C283" s="1" t="s">
        <v>472</v>
      </c>
      <c r="D283" s="1" t="s">
        <v>325</v>
      </c>
      <c r="E283" s="1" t="s">
        <v>330</v>
      </c>
      <c r="F283" s="1" t="s">
        <v>333</v>
      </c>
      <c r="G283" s="1" t="s">
        <v>173</v>
      </c>
    </row>
    <row r="284" spans="1:7" x14ac:dyDescent="0.25">
      <c r="A284" s="1">
        <v>37293</v>
      </c>
      <c r="B284" s="1" t="s">
        <v>178</v>
      </c>
      <c r="C284" s="1" t="s">
        <v>472</v>
      </c>
      <c r="D284" s="1" t="s">
        <v>334</v>
      </c>
      <c r="E284" s="1" t="s">
        <v>335</v>
      </c>
      <c r="F284" s="1" t="s">
        <v>336</v>
      </c>
      <c r="G284" s="1" t="s">
        <v>173</v>
      </c>
    </row>
    <row r="285" spans="1:7" x14ac:dyDescent="0.25">
      <c r="A285" s="1">
        <v>37294</v>
      </c>
      <c r="B285" s="1" t="s">
        <v>178</v>
      </c>
      <c r="C285" s="1" t="s">
        <v>472</v>
      </c>
      <c r="D285" s="1" t="s">
        <v>334</v>
      </c>
      <c r="E285" s="1" t="s">
        <v>335</v>
      </c>
      <c r="F285" s="1" t="s">
        <v>337</v>
      </c>
      <c r="G285" s="1" t="s">
        <v>173</v>
      </c>
    </row>
    <row r="286" spans="1:7" x14ac:dyDescent="0.25">
      <c r="A286" s="1">
        <v>37296</v>
      </c>
      <c r="B286" s="1" t="s">
        <v>178</v>
      </c>
      <c r="C286" s="1" t="s">
        <v>472</v>
      </c>
      <c r="D286" s="1" t="s">
        <v>334</v>
      </c>
      <c r="E286" s="1" t="s">
        <v>338</v>
      </c>
      <c r="F286" s="1" t="s">
        <v>339</v>
      </c>
      <c r="G286" s="1" t="s">
        <v>173</v>
      </c>
    </row>
    <row r="287" spans="1:7" x14ac:dyDescent="0.25">
      <c r="A287" s="1">
        <v>37297</v>
      </c>
      <c r="B287" s="1" t="s">
        <v>178</v>
      </c>
      <c r="C287" s="1" t="s">
        <v>472</v>
      </c>
      <c r="D287" s="1" t="s">
        <v>334</v>
      </c>
      <c r="E287" s="1" t="s">
        <v>338</v>
      </c>
      <c r="F287" s="1" t="s">
        <v>340</v>
      </c>
      <c r="G287" s="1" t="s">
        <v>173</v>
      </c>
    </row>
    <row r="288" spans="1:7" x14ac:dyDescent="0.25">
      <c r="A288" s="1">
        <v>37298</v>
      </c>
      <c r="B288" s="1" t="s">
        <v>178</v>
      </c>
      <c r="C288" s="1" t="s">
        <v>472</v>
      </c>
      <c r="D288" s="1" t="s">
        <v>334</v>
      </c>
      <c r="E288" s="1" t="s">
        <v>338</v>
      </c>
      <c r="F288" s="1" t="s">
        <v>341</v>
      </c>
      <c r="G288" s="1" t="s">
        <v>173</v>
      </c>
    </row>
    <row r="289" spans="1:7" x14ac:dyDescent="0.25">
      <c r="A289" s="1">
        <v>37299</v>
      </c>
      <c r="B289" s="1" t="s">
        <v>178</v>
      </c>
      <c r="C289" s="1" t="s">
        <v>472</v>
      </c>
      <c r="D289" s="1" t="s">
        <v>334</v>
      </c>
      <c r="E289" s="1" t="s">
        <v>338</v>
      </c>
      <c r="F289" s="1" t="s">
        <v>342</v>
      </c>
      <c r="G289" s="1" t="s">
        <v>173</v>
      </c>
    </row>
    <row r="290" spans="1:7" x14ac:dyDescent="0.25">
      <c r="A290" s="1">
        <v>37302</v>
      </c>
      <c r="B290" s="1" t="s">
        <v>178</v>
      </c>
      <c r="C290" s="1" t="s">
        <v>472</v>
      </c>
      <c r="D290" s="1" t="s">
        <v>343</v>
      </c>
      <c r="E290" s="1" t="s">
        <v>344</v>
      </c>
      <c r="F290" s="1" t="s">
        <v>345</v>
      </c>
      <c r="G290" s="1" t="s">
        <v>173</v>
      </c>
    </row>
    <row r="291" spans="1:7" x14ac:dyDescent="0.25">
      <c r="A291" s="1">
        <v>37304</v>
      </c>
      <c r="B291" s="1" t="s">
        <v>178</v>
      </c>
      <c r="C291" s="1" t="s">
        <v>472</v>
      </c>
      <c r="D291" s="1" t="s">
        <v>343</v>
      </c>
      <c r="E291" s="1" t="s">
        <v>346</v>
      </c>
      <c r="F291" s="1" t="s">
        <v>347</v>
      </c>
      <c r="G291" s="1" t="s">
        <v>173</v>
      </c>
    </row>
    <row r="292" spans="1:7" x14ac:dyDescent="0.25">
      <c r="A292" s="1">
        <v>48004</v>
      </c>
      <c r="B292" s="1" t="s">
        <v>178</v>
      </c>
      <c r="C292" s="1" t="s">
        <v>472</v>
      </c>
      <c r="D292" s="1" t="s">
        <v>348</v>
      </c>
      <c r="E292" s="1" t="s">
        <v>349</v>
      </c>
      <c r="F292" s="1" t="s">
        <v>350</v>
      </c>
      <c r="G292" s="1" t="s">
        <v>173</v>
      </c>
    </row>
    <row r="293" spans="1:7" x14ac:dyDescent="0.25">
      <c r="A293" s="1">
        <v>37319</v>
      </c>
      <c r="B293" s="1" t="s">
        <v>178</v>
      </c>
      <c r="C293" s="1" t="s">
        <v>472</v>
      </c>
      <c r="D293" s="1" t="s">
        <v>351</v>
      </c>
      <c r="E293" s="1" t="s">
        <v>352</v>
      </c>
      <c r="F293" s="1" t="s">
        <v>353</v>
      </c>
      <c r="G293" s="1" t="s">
        <v>173</v>
      </c>
    </row>
    <row r="294" spans="1:7" x14ac:dyDescent="0.25">
      <c r="A294" s="1">
        <v>37320</v>
      </c>
      <c r="B294" s="1" t="s">
        <v>178</v>
      </c>
      <c r="C294" s="1" t="s">
        <v>472</v>
      </c>
      <c r="D294" s="1" t="s">
        <v>351</v>
      </c>
      <c r="E294" s="1" t="s">
        <v>352</v>
      </c>
      <c r="F294" s="1" t="s">
        <v>354</v>
      </c>
      <c r="G294" s="1" t="s">
        <v>173</v>
      </c>
    </row>
    <row r="295" spans="1:7" x14ac:dyDescent="0.25">
      <c r="A295" s="1">
        <v>37313</v>
      </c>
      <c r="B295" s="1" t="s">
        <v>178</v>
      </c>
      <c r="C295" s="1" t="s">
        <v>472</v>
      </c>
      <c r="D295" s="1" t="s">
        <v>351</v>
      </c>
      <c r="E295" s="1" t="s">
        <v>355</v>
      </c>
      <c r="F295" s="1" t="s">
        <v>356</v>
      </c>
      <c r="G295" s="1" t="s">
        <v>173</v>
      </c>
    </row>
    <row r="296" spans="1:7" x14ac:dyDescent="0.25">
      <c r="A296" s="1">
        <v>37314</v>
      </c>
      <c r="B296" s="1" t="s">
        <v>178</v>
      </c>
      <c r="C296" s="1" t="s">
        <v>472</v>
      </c>
      <c r="D296" s="1" t="s">
        <v>351</v>
      </c>
      <c r="E296" s="1" t="s">
        <v>355</v>
      </c>
      <c r="F296" s="1" t="s">
        <v>357</v>
      </c>
      <c r="G296" s="1" t="s">
        <v>173</v>
      </c>
    </row>
    <row r="297" spans="1:7" x14ac:dyDescent="0.25">
      <c r="A297" s="1">
        <v>37322</v>
      </c>
      <c r="B297" s="1" t="s">
        <v>178</v>
      </c>
      <c r="C297" s="1" t="s">
        <v>472</v>
      </c>
      <c r="D297" s="1" t="s">
        <v>351</v>
      </c>
      <c r="E297" s="1" t="s">
        <v>358</v>
      </c>
      <c r="F297" s="1" t="s">
        <v>359</v>
      </c>
      <c r="G297" s="1" t="s">
        <v>173</v>
      </c>
    </row>
    <row r="298" spans="1:7" x14ac:dyDescent="0.25">
      <c r="A298" s="1">
        <v>37316</v>
      </c>
      <c r="B298" s="1" t="s">
        <v>178</v>
      </c>
      <c r="C298" s="1" t="s">
        <v>472</v>
      </c>
      <c r="D298" s="1" t="s">
        <v>351</v>
      </c>
      <c r="E298" s="1" t="s">
        <v>360</v>
      </c>
      <c r="F298" s="1" t="s">
        <v>361</v>
      </c>
      <c r="G298" s="1" t="s">
        <v>173</v>
      </c>
    </row>
    <row r="299" spans="1:7" x14ac:dyDescent="0.25">
      <c r="A299" s="1">
        <v>37317</v>
      </c>
      <c r="B299" s="1" t="s">
        <v>178</v>
      </c>
      <c r="C299" s="1" t="s">
        <v>472</v>
      </c>
      <c r="D299" s="1" t="s">
        <v>351</v>
      </c>
      <c r="E299" s="1" t="s">
        <v>360</v>
      </c>
      <c r="F299" s="1" t="s">
        <v>362</v>
      </c>
      <c r="G299" s="1" t="s">
        <v>173</v>
      </c>
    </row>
    <row r="300" spans="1:7" x14ac:dyDescent="0.25">
      <c r="A300" s="1">
        <v>37325</v>
      </c>
      <c r="B300" s="1" t="s">
        <v>178</v>
      </c>
      <c r="C300" s="1" t="s">
        <v>472</v>
      </c>
      <c r="D300" s="1" t="s">
        <v>363</v>
      </c>
      <c r="E300" s="1" t="s">
        <v>364</v>
      </c>
      <c r="F300" s="1" t="s">
        <v>365</v>
      </c>
      <c r="G300" s="1" t="s">
        <v>173</v>
      </c>
    </row>
    <row r="301" spans="1:7" x14ac:dyDescent="0.25">
      <c r="A301" s="1">
        <v>37326</v>
      </c>
      <c r="B301" s="1" t="s">
        <v>178</v>
      </c>
      <c r="C301" s="1" t="s">
        <v>472</v>
      </c>
      <c r="D301" s="1" t="s">
        <v>363</v>
      </c>
      <c r="E301" s="1" t="s">
        <v>364</v>
      </c>
      <c r="F301" s="1" t="s">
        <v>366</v>
      </c>
      <c r="G301" s="1" t="s">
        <v>173</v>
      </c>
    </row>
    <row r="302" spans="1:7" x14ac:dyDescent="0.25">
      <c r="A302" s="1">
        <v>37332</v>
      </c>
      <c r="B302" s="1" t="s">
        <v>178</v>
      </c>
      <c r="C302" s="1" t="s">
        <v>472</v>
      </c>
      <c r="D302" s="1" t="s">
        <v>367</v>
      </c>
      <c r="E302" s="1" t="s">
        <v>368</v>
      </c>
      <c r="F302" s="1" t="s">
        <v>369</v>
      </c>
      <c r="G302" s="1" t="s">
        <v>173</v>
      </c>
    </row>
    <row r="303" spans="1:7" x14ac:dyDescent="0.25">
      <c r="A303" s="1">
        <v>37333</v>
      </c>
      <c r="B303" s="1" t="s">
        <v>178</v>
      </c>
      <c r="C303" s="1" t="s">
        <v>472</v>
      </c>
      <c r="D303" s="1" t="s">
        <v>367</v>
      </c>
      <c r="E303" s="1" t="s">
        <v>368</v>
      </c>
      <c r="F303" s="1" t="s">
        <v>370</v>
      </c>
      <c r="G303" s="1" t="s">
        <v>173</v>
      </c>
    </row>
    <row r="304" spans="1:7" x14ac:dyDescent="0.25">
      <c r="A304" s="1">
        <v>37335</v>
      </c>
      <c r="B304" s="1" t="s">
        <v>178</v>
      </c>
      <c r="C304" s="1" t="s">
        <v>472</v>
      </c>
      <c r="D304" s="1" t="s">
        <v>367</v>
      </c>
      <c r="E304" s="1" t="s">
        <v>371</v>
      </c>
      <c r="F304" s="1" t="s">
        <v>372</v>
      </c>
      <c r="G304" s="1" t="s">
        <v>173</v>
      </c>
    </row>
    <row r="305" spans="1:7" x14ac:dyDescent="0.25">
      <c r="A305" s="1">
        <v>37336</v>
      </c>
      <c r="B305" s="1" t="s">
        <v>178</v>
      </c>
      <c r="C305" s="1" t="s">
        <v>472</v>
      </c>
      <c r="D305" s="1" t="s">
        <v>367</v>
      </c>
      <c r="E305" s="1" t="s">
        <v>371</v>
      </c>
      <c r="F305" s="1" t="s">
        <v>373</v>
      </c>
      <c r="G305" s="1" t="s">
        <v>173</v>
      </c>
    </row>
    <row r="306" spans="1:7" x14ac:dyDescent="0.25">
      <c r="A306" s="1">
        <v>37329</v>
      </c>
      <c r="B306" s="1" t="s">
        <v>178</v>
      </c>
      <c r="C306" s="1" t="s">
        <v>472</v>
      </c>
      <c r="D306" s="1" t="s">
        <v>367</v>
      </c>
      <c r="E306" s="1" t="s">
        <v>374</v>
      </c>
      <c r="F306" s="1" t="s">
        <v>375</v>
      </c>
      <c r="G306" s="1" t="s">
        <v>173</v>
      </c>
    </row>
    <row r="307" spans="1:7" x14ac:dyDescent="0.25">
      <c r="A307" s="1">
        <v>37330</v>
      </c>
      <c r="B307" s="1" t="s">
        <v>178</v>
      </c>
      <c r="C307" s="1" t="s">
        <v>472</v>
      </c>
      <c r="D307" s="1" t="s">
        <v>367</v>
      </c>
      <c r="E307" s="1" t="s">
        <v>374</v>
      </c>
      <c r="F307" s="1" t="s">
        <v>376</v>
      </c>
      <c r="G307" s="1" t="s">
        <v>173</v>
      </c>
    </row>
    <row r="308" spans="1:7" x14ac:dyDescent="0.25">
      <c r="A308" s="1">
        <v>44353</v>
      </c>
      <c r="B308" s="1" t="s">
        <v>178</v>
      </c>
      <c r="C308" s="1" t="s">
        <v>472</v>
      </c>
      <c r="D308" s="1" t="s">
        <v>367</v>
      </c>
      <c r="E308" s="1" t="s">
        <v>377</v>
      </c>
      <c r="F308" s="1" t="s">
        <v>378</v>
      </c>
      <c r="G308" s="1" t="s">
        <v>173</v>
      </c>
    </row>
    <row r="309" spans="1:7" x14ac:dyDescent="0.25">
      <c r="A309" s="1">
        <v>44354</v>
      </c>
      <c r="B309" s="1" t="s">
        <v>178</v>
      </c>
      <c r="C309" s="1" t="s">
        <v>472</v>
      </c>
      <c r="D309" s="1" t="s">
        <v>367</v>
      </c>
      <c r="E309" s="1" t="s">
        <v>377</v>
      </c>
      <c r="F309" s="1" t="s">
        <v>379</v>
      </c>
      <c r="G309" s="1" t="s">
        <v>173</v>
      </c>
    </row>
    <row r="310" spans="1:7" x14ac:dyDescent="0.25">
      <c r="A310" s="1">
        <v>37266</v>
      </c>
      <c r="B310" s="1" t="s">
        <v>178</v>
      </c>
      <c r="C310" s="1" t="s">
        <v>472</v>
      </c>
      <c r="D310" s="1" t="s">
        <v>367</v>
      </c>
      <c r="E310" s="1" t="s">
        <v>380</v>
      </c>
      <c r="F310" s="1" t="s">
        <v>381</v>
      </c>
      <c r="G310" s="1" t="s">
        <v>173</v>
      </c>
    </row>
    <row r="311" spans="1:7" x14ac:dyDescent="0.25">
      <c r="A311" s="1">
        <v>37267</v>
      </c>
      <c r="B311" s="1" t="s">
        <v>178</v>
      </c>
      <c r="C311" s="1" t="s">
        <v>472</v>
      </c>
      <c r="D311" s="1" t="s">
        <v>367</v>
      </c>
      <c r="E311" s="1" t="s">
        <v>380</v>
      </c>
      <c r="F311" s="1" t="s">
        <v>382</v>
      </c>
      <c r="G311" s="1" t="s">
        <v>173</v>
      </c>
    </row>
    <row r="312" spans="1:7" x14ac:dyDescent="0.25">
      <c r="A312" s="1">
        <v>37339</v>
      </c>
      <c r="B312" s="1" t="s">
        <v>178</v>
      </c>
      <c r="C312" s="1" t="s">
        <v>472</v>
      </c>
      <c r="D312" s="1" t="s">
        <v>383</v>
      </c>
      <c r="E312" s="1" t="s">
        <v>384</v>
      </c>
      <c r="F312" s="1" t="s">
        <v>385</v>
      </c>
      <c r="G312" s="1" t="s">
        <v>173</v>
      </c>
    </row>
    <row r="313" spans="1:7" x14ac:dyDescent="0.25">
      <c r="A313" s="1">
        <v>37340</v>
      </c>
      <c r="B313" s="1" t="s">
        <v>178</v>
      </c>
      <c r="C313" s="1" t="s">
        <v>472</v>
      </c>
      <c r="D313" s="1" t="s">
        <v>383</v>
      </c>
      <c r="E313" s="1" t="s">
        <v>384</v>
      </c>
      <c r="F313" s="1" t="s">
        <v>386</v>
      </c>
      <c r="G313" s="1" t="s">
        <v>173</v>
      </c>
    </row>
    <row r="314" spans="1:7" x14ac:dyDescent="0.25">
      <c r="A314" s="1">
        <v>37342</v>
      </c>
      <c r="B314" s="1" t="s">
        <v>178</v>
      </c>
      <c r="C314" s="1" t="s">
        <v>472</v>
      </c>
      <c r="D314" s="1" t="s">
        <v>383</v>
      </c>
      <c r="E314" s="1" t="s">
        <v>387</v>
      </c>
      <c r="F314" s="1" t="s">
        <v>388</v>
      </c>
      <c r="G314" s="1" t="s">
        <v>173</v>
      </c>
    </row>
    <row r="315" spans="1:7" x14ac:dyDescent="0.25">
      <c r="A315" s="1">
        <v>37348</v>
      </c>
      <c r="B315" s="1" t="s">
        <v>178</v>
      </c>
      <c r="C315" s="1" t="s">
        <v>472</v>
      </c>
      <c r="D315" s="1" t="s">
        <v>383</v>
      </c>
      <c r="E315" s="1" t="s">
        <v>387</v>
      </c>
      <c r="F315" s="1" t="s">
        <v>389</v>
      </c>
      <c r="G315" s="1" t="s">
        <v>173</v>
      </c>
    </row>
    <row r="316" spans="1:7" x14ac:dyDescent="0.25">
      <c r="A316" s="1">
        <v>37343</v>
      </c>
      <c r="B316" s="1" t="s">
        <v>178</v>
      </c>
      <c r="C316" s="1" t="s">
        <v>472</v>
      </c>
      <c r="D316" s="1" t="s">
        <v>383</v>
      </c>
      <c r="E316" s="1" t="s">
        <v>387</v>
      </c>
      <c r="F316" s="1" t="s">
        <v>390</v>
      </c>
      <c r="G316" s="1" t="s">
        <v>173</v>
      </c>
    </row>
    <row r="317" spans="1:7" x14ac:dyDescent="0.25">
      <c r="A317" s="1">
        <v>37349</v>
      </c>
      <c r="B317" s="1" t="s">
        <v>178</v>
      </c>
      <c r="C317" s="1" t="s">
        <v>472</v>
      </c>
      <c r="D317" s="1" t="s">
        <v>383</v>
      </c>
      <c r="E317" s="1" t="s">
        <v>387</v>
      </c>
      <c r="F317" s="1" t="s">
        <v>391</v>
      </c>
      <c r="G317" s="1" t="s">
        <v>173</v>
      </c>
    </row>
    <row r="318" spans="1:7" x14ac:dyDescent="0.25">
      <c r="A318" s="1">
        <v>37344</v>
      </c>
      <c r="B318" s="1" t="s">
        <v>178</v>
      </c>
      <c r="C318" s="1" t="s">
        <v>472</v>
      </c>
      <c r="D318" s="1" t="s">
        <v>383</v>
      </c>
      <c r="E318" s="1" t="s">
        <v>387</v>
      </c>
      <c r="F318" s="1" t="s">
        <v>392</v>
      </c>
      <c r="G318" s="1" t="s">
        <v>173</v>
      </c>
    </row>
    <row r="319" spans="1:7" x14ac:dyDescent="0.25">
      <c r="A319" s="1">
        <v>37350</v>
      </c>
      <c r="B319" s="1" t="s">
        <v>178</v>
      </c>
      <c r="C319" s="1" t="s">
        <v>472</v>
      </c>
      <c r="D319" s="1" t="s">
        <v>383</v>
      </c>
      <c r="E319" s="1" t="s">
        <v>387</v>
      </c>
      <c r="F319" s="1" t="s">
        <v>393</v>
      </c>
      <c r="G319" s="1" t="s">
        <v>173</v>
      </c>
    </row>
    <row r="320" spans="1:7" x14ac:dyDescent="0.25">
      <c r="A320" s="1">
        <v>37345</v>
      </c>
      <c r="B320" s="1" t="s">
        <v>178</v>
      </c>
      <c r="C320" s="1" t="s">
        <v>472</v>
      </c>
      <c r="D320" s="1" t="s">
        <v>383</v>
      </c>
      <c r="E320" s="1" t="s">
        <v>387</v>
      </c>
      <c r="F320" s="1" t="s">
        <v>394</v>
      </c>
      <c r="G320" s="1" t="s">
        <v>173</v>
      </c>
    </row>
    <row r="321" spans="1:7" x14ac:dyDescent="0.25">
      <c r="A321" s="1">
        <v>37351</v>
      </c>
      <c r="B321" s="1" t="s">
        <v>178</v>
      </c>
      <c r="C321" s="1" t="s">
        <v>472</v>
      </c>
      <c r="D321" s="1" t="s">
        <v>383</v>
      </c>
      <c r="E321" s="1" t="s">
        <v>387</v>
      </c>
      <c r="F321" s="1" t="s">
        <v>395</v>
      </c>
      <c r="G321" s="1" t="s">
        <v>173</v>
      </c>
    </row>
    <row r="322" spans="1:7" x14ac:dyDescent="0.25">
      <c r="A322" s="1">
        <v>37346</v>
      </c>
      <c r="B322" s="1" t="s">
        <v>178</v>
      </c>
      <c r="C322" s="1" t="s">
        <v>472</v>
      </c>
      <c r="D322" s="1" t="s">
        <v>383</v>
      </c>
      <c r="E322" s="1" t="s">
        <v>387</v>
      </c>
      <c r="F322" s="1" t="s">
        <v>396</v>
      </c>
      <c r="G322" s="1" t="s">
        <v>173</v>
      </c>
    </row>
    <row r="323" spans="1:7" x14ac:dyDescent="0.25">
      <c r="A323" s="1">
        <v>37352</v>
      </c>
      <c r="B323" s="1" t="s">
        <v>178</v>
      </c>
      <c r="C323" s="1" t="s">
        <v>472</v>
      </c>
      <c r="D323" s="1" t="s">
        <v>383</v>
      </c>
      <c r="E323" s="1" t="s">
        <v>387</v>
      </c>
      <c r="F323" s="1" t="s">
        <v>397</v>
      </c>
      <c r="G323" s="1" t="s">
        <v>173</v>
      </c>
    </row>
    <row r="324" spans="1:7" x14ac:dyDescent="0.25">
      <c r="A324" s="1">
        <v>37347</v>
      </c>
      <c r="B324" s="1" t="s">
        <v>178</v>
      </c>
      <c r="C324" s="1" t="s">
        <v>472</v>
      </c>
      <c r="D324" s="1" t="s">
        <v>383</v>
      </c>
      <c r="E324" s="1" t="s">
        <v>387</v>
      </c>
      <c r="F324" s="1" t="s">
        <v>398</v>
      </c>
      <c r="G324" s="1" t="s">
        <v>173</v>
      </c>
    </row>
    <row r="325" spans="1:7" x14ac:dyDescent="0.25">
      <c r="A325" s="1">
        <v>37353</v>
      </c>
      <c r="B325" s="1" t="s">
        <v>178</v>
      </c>
      <c r="C325" s="1" t="s">
        <v>472</v>
      </c>
      <c r="D325" s="1" t="s">
        <v>383</v>
      </c>
      <c r="E325" s="1" t="s">
        <v>387</v>
      </c>
      <c r="F325" s="1" t="s">
        <v>399</v>
      </c>
      <c r="G325" s="1" t="s">
        <v>173</v>
      </c>
    </row>
    <row r="326" spans="1:7" x14ac:dyDescent="0.25">
      <c r="A326" s="1">
        <v>37355</v>
      </c>
      <c r="B326" s="1" t="s">
        <v>178</v>
      </c>
      <c r="C326" s="1" t="s">
        <v>472</v>
      </c>
      <c r="D326" s="1" t="s">
        <v>383</v>
      </c>
      <c r="E326" s="1" t="s">
        <v>400</v>
      </c>
      <c r="F326" s="1" t="s">
        <v>401</v>
      </c>
      <c r="G326" s="1" t="s">
        <v>173</v>
      </c>
    </row>
    <row r="327" spans="1:7" x14ac:dyDescent="0.25">
      <c r="A327" s="1">
        <v>37356</v>
      </c>
      <c r="B327" s="1" t="s">
        <v>178</v>
      </c>
      <c r="C327" s="1" t="s">
        <v>472</v>
      </c>
      <c r="D327" s="1" t="s">
        <v>383</v>
      </c>
      <c r="E327" s="1" t="s">
        <v>400</v>
      </c>
      <c r="F327" s="1" t="s">
        <v>402</v>
      </c>
      <c r="G327" s="1" t="s">
        <v>173</v>
      </c>
    </row>
    <row r="328" spans="1:7" x14ac:dyDescent="0.25">
      <c r="A328" s="1">
        <v>37359</v>
      </c>
      <c r="B328" s="1" t="s">
        <v>178</v>
      </c>
      <c r="C328" s="1" t="s">
        <v>472</v>
      </c>
      <c r="D328" s="1" t="s">
        <v>403</v>
      </c>
      <c r="E328" s="1" t="s">
        <v>404</v>
      </c>
      <c r="F328" s="1" t="s">
        <v>405</v>
      </c>
      <c r="G328" s="1" t="s">
        <v>173</v>
      </c>
    </row>
    <row r="329" spans="1:7" x14ac:dyDescent="0.25">
      <c r="A329" s="1">
        <v>37362</v>
      </c>
      <c r="B329" s="1" t="s">
        <v>178</v>
      </c>
      <c r="C329" s="1" t="s">
        <v>472</v>
      </c>
      <c r="D329" s="1" t="s">
        <v>406</v>
      </c>
      <c r="E329" s="1" t="s">
        <v>407</v>
      </c>
      <c r="F329" s="1" t="s">
        <v>408</v>
      </c>
      <c r="G329" s="1" t="s">
        <v>173</v>
      </c>
    </row>
    <row r="330" spans="1:7" x14ac:dyDescent="0.25">
      <c r="A330" s="1">
        <v>37363</v>
      </c>
      <c r="B330" s="1" t="s">
        <v>178</v>
      </c>
      <c r="C330" s="1" t="s">
        <v>472</v>
      </c>
      <c r="D330" s="1" t="s">
        <v>406</v>
      </c>
      <c r="E330" s="1" t="s">
        <v>407</v>
      </c>
      <c r="F330" s="1" t="s">
        <v>409</v>
      </c>
      <c r="G330" s="1" t="s">
        <v>173</v>
      </c>
    </row>
    <row r="331" spans="1:7" x14ac:dyDescent="0.25">
      <c r="A331" s="1">
        <v>37365</v>
      </c>
      <c r="B331" s="1" t="s">
        <v>178</v>
      </c>
      <c r="C331" s="1" t="s">
        <v>472</v>
      </c>
      <c r="D331" s="1" t="s">
        <v>406</v>
      </c>
      <c r="E331" s="1" t="s">
        <v>410</v>
      </c>
      <c r="F331" s="1" t="s">
        <v>411</v>
      </c>
      <c r="G331" s="1" t="s">
        <v>173</v>
      </c>
    </row>
    <row r="332" spans="1:7" x14ac:dyDescent="0.25">
      <c r="A332" s="1">
        <v>58382</v>
      </c>
      <c r="B332" s="1" t="s">
        <v>178</v>
      </c>
      <c r="C332" s="1" t="s">
        <v>472</v>
      </c>
      <c r="D332" s="1" t="s">
        <v>412</v>
      </c>
      <c r="E332" s="1" t="s">
        <v>413</v>
      </c>
      <c r="F332" s="1" t="s">
        <v>414</v>
      </c>
      <c r="G332" s="1" t="s">
        <v>173</v>
      </c>
    </row>
    <row r="333" spans="1:7" x14ac:dyDescent="0.25">
      <c r="A333" s="1">
        <v>37393</v>
      </c>
      <c r="B333" s="1" t="s">
        <v>178</v>
      </c>
      <c r="C333" s="1" t="s">
        <v>472</v>
      </c>
      <c r="D333" s="1" t="s">
        <v>412</v>
      </c>
      <c r="E333" s="1" t="s">
        <v>415</v>
      </c>
      <c r="F333" s="1" t="s">
        <v>416</v>
      </c>
      <c r="G333" s="1" t="s">
        <v>173</v>
      </c>
    </row>
    <row r="334" spans="1:7" x14ac:dyDescent="0.25">
      <c r="A334" s="1">
        <v>37394</v>
      </c>
      <c r="B334" s="1" t="s">
        <v>178</v>
      </c>
      <c r="C334" s="1" t="s">
        <v>472</v>
      </c>
      <c r="D334" s="1" t="s">
        <v>412</v>
      </c>
      <c r="E334" s="1" t="s">
        <v>415</v>
      </c>
      <c r="F334" s="1" t="s">
        <v>417</v>
      </c>
      <c r="G334" s="1" t="s">
        <v>173</v>
      </c>
    </row>
    <row r="335" spans="1:7" x14ac:dyDescent="0.25">
      <c r="A335" s="1">
        <v>37368</v>
      </c>
      <c r="B335" s="1" t="s">
        <v>178</v>
      </c>
      <c r="C335" s="1" t="s">
        <v>472</v>
      </c>
      <c r="D335" s="1" t="s">
        <v>412</v>
      </c>
      <c r="E335" s="1" t="s">
        <v>418</v>
      </c>
      <c r="F335" s="1" t="s">
        <v>419</v>
      </c>
      <c r="G335" s="1" t="s">
        <v>173</v>
      </c>
    </row>
    <row r="336" spans="1:7" x14ac:dyDescent="0.25">
      <c r="A336" s="1">
        <v>37369</v>
      </c>
      <c r="B336" s="1" t="s">
        <v>178</v>
      </c>
      <c r="C336" s="1" t="s">
        <v>472</v>
      </c>
      <c r="D336" s="1" t="s">
        <v>412</v>
      </c>
      <c r="E336" s="1" t="s">
        <v>418</v>
      </c>
      <c r="F336" s="1" t="s">
        <v>420</v>
      </c>
      <c r="G336" s="1" t="s">
        <v>173</v>
      </c>
    </row>
    <row r="337" spans="1:7" x14ac:dyDescent="0.25">
      <c r="A337" s="1">
        <v>37370</v>
      </c>
      <c r="B337" s="1" t="s">
        <v>178</v>
      </c>
      <c r="C337" s="1" t="s">
        <v>472</v>
      </c>
      <c r="D337" s="1" t="s">
        <v>412</v>
      </c>
      <c r="E337" s="1" t="s">
        <v>418</v>
      </c>
      <c r="F337" s="1" t="s">
        <v>421</v>
      </c>
      <c r="G337" s="1" t="s">
        <v>173</v>
      </c>
    </row>
    <row r="338" spans="1:7" x14ac:dyDescent="0.25">
      <c r="A338" s="1">
        <v>37372</v>
      </c>
      <c r="B338" s="1" t="s">
        <v>178</v>
      </c>
      <c r="C338" s="1" t="s">
        <v>472</v>
      </c>
      <c r="D338" s="1" t="s">
        <v>412</v>
      </c>
      <c r="E338" s="1" t="s">
        <v>422</v>
      </c>
      <c r="F338" s="1" t="s">
        <v>423</v>
      </c>
      <c r="G338" s="1" t="s">
        <v>173</v>
      </c>
    </row>
    <row r="339" spans="1:7" x14ac:dyDescent="0.25">
      <c r="A339" s="1">
        <v>37373</v>
      </c>
      <c r="B339" s="1" t="s">
        <v>178</v>
      </c>
      <c r="C339" s="1" t="s">
        <v>472</v>
      </c>
      <c r="D339" s="1" t="s">
        <v>412</v>
      </c>
      <c r="E339" s="1" t="s">
        <v>422</v>
      </c>
      <c r="F339" s="1" t="s">
        <v>424</v>
      </c>
      <c r="G339" s="1" t="s">
        <v>173</v>
      </c>
    </row>
    <row r="340" spans="1:7" x14ac:dyDescent="0.25">
      <c r="A340" s="1">
        <v>37374</v>
      </c>
      <c r="B340" s="1" t="s">
        <v>178</v>
      </c>
      <c r="C340" s="1" t="s">
        <v>472</v>
      </c>
      <c r="D340" s="1" t="s">
        <v>412</v>
      </c>
      <c r="E340" s="1" t="s">
        <v>422</v>
      </c>
      <c r="F340" s="1" t="s">
        <v>425</v>
      </c>
      <c r="G340" s="1" t="s">
        <v>173</v>
      </c>
    </row>
    <row r="341" spans="1:7" x14ac:dyDescent="0.25">
      <c r="A341" s="1">
        <v>37376</v>
      </c>
      <c r="B341" s="1" t="s">
        <v>178</v>
      </c>
      <c r="C341" s="1" t="s">
        <v>472</v>
      </c>
      <c r="D341" s="1" t="s">
        <v>412</v>
      </c>
      <c r="E341" s="1" t="s">
        <v>426</v>
      </c>
      <c r="F341" s="1" t="s">
        <v>427</v>
      </c>
      <c r="G341" s="1" t="s">
        <v>173</v>
      </c>
    </row>
    <row r="342" spans="1:7" x14ac:dyDescent="0.25">
      <c r="A342" s="1">
        <v>37377</v>
      </c>
      <c r="B342" s="1" t="s">
        <v>178</v>
      </c>
      <c r="C342" s="1" t="s">
        <v>472</v>
      </c>
      <c r="D342" s="1" t="s">
        <v>412</v>
      </c>
      <c r="E342" s="1" t="s">
        <v>426</v>
      </c>
      <c r="F342" s="1" t="s">
        <v>428</v>
      </c>
      <c r="G342" s="1" t="s">
        <v>173</v>
      </c>
    </row>
    <row r="343" spans="1:7" x14ac:dyDescent="0.25">
      <c r="A343" s="1">
        <v>59176</v>
      </c>
      <c r="B343" s="1" t="s">
        <v>178</v>
      </c>
      <c r="C343" s="1" t="s">
        <v>472</v>
      </c>
      <c r="D343" s="1" t="s">
        <v>412</v>
      </c>
      <c r="E343" s="1" t="s">
        <v>429</v>
      </c>
      <c r="F343" s="1" t="s">
        <v>430</v>
      </c>
      <c r="G343" s="1" t="s">
        <v>173</v>
      </c>
    </row>
    <row r="344" spans="1:7" x14ac:dyDescent="0.25">
      <c r="A344" s="1">
        <v>59177</v>
      </c>
      <c r="B344" s="1" t="s">
        <v>178</v>
      </c>
      <c r="C344" s="1" t="s">
        <v>472</v>
      </c>
      <c r="D344" s="1" t="s">
        <v>412</v>
      </c>
      <c r="E344" s="1" t="s">
        <v>429</v>
      </c>
      <c r="F344" s="1" t="s">
        <v>431</v>
      </c>
      <c r="G344" s="1" t="s">
        <v>173</v>
      </c>
    </row>
    <row r="345" spans="1:7" x14ac:dyDescent="0.25">
      <c r="A345" s="1">
        <v>59188</v>
      </c>
      <c r="B345" s="1" t="s">
        <v>178</v>
      </c>
      <c r="C345" s="1" t="s">
        <v>472</v>
      </c>
      <c r="D345" s="1" t="s">
        <v>412</v>
      </c>
      <c r="E345" s="1" t="s">
        <v>432</v>
      </c>
      <c r="F345" s="1" t="s">
        <v>433</v>
      </c>
      <c r="G345" s="1" t="s">
        <v>173</v>
      </c>
    </row>
    <row r="346" spans="1:7" x14ac:dyDescent="0.25">
      <c r="A346" s="1">
        <v>59189</v>
      </c>
      <c r="B346" s="1" t="s">
        <v>178</v>
      </c>
      <c r="C346" s="1" t="s">
        <v>472</v>
      </c>
      <c r="D346" s="1" t="s">
        <v>412</v>
      </c>
      <c r="E346" s="1" t="s">
        <v>432</v>
      </c>
      <c r="F346" s="1" t="s">
        <v>434</v>
      </c>
      <c r="G346" s="1" t="s">
        <v>173</v>
      </c>
    </row>
    <row r="347" spans="1:7" x14ac:dyDescent="0.25">
      <c r="A347" s="1">
        <v>37396</v>
      </c>
      <c r="B347" s="1" t="s">
        <v>178</v>
      </c>
      <c r="C347" s="1" t="s">
        <v>472</v>
      </c>
      <c r="D347" s="1" t="s">
        <v>412</v>
      </c>
      <c r="E347" s="1" t="s">
        <v>435</v>
      </c>
      <c r="F347" s="1" t="s">
        <v>436</v>
      </c>
      <c r="G347" s="1" t="s">
        <v>173</v>
      </c>
    </row>
    <row r="348" spans="1:7" x14ac:dyDescent="0.25">
      <c r="A348" s="1">
        <v>37397</v>
      </c>
      <c r="B348" s="1" t="s">
        <v>178</v>
      </c>
      <c r="C348" s="1" t="s">
        <v>472</v>
      </c>
      <c r="D348" s="1" t="s">
        <v>412</v>
      </c>
      <c r="E348" s="1" t="s">
        <v>435</v>
      </c>
      <c r="F348" s="1" t="s">
        <v>437</v>
      </c>
      <c r="G348" s="1" t="s">
        <v>173</v>
      </c>
    </row>
    <row r="349" spans="1:7" x14ac:dyDescent="0.25">
      <c r="A349" s="1">
        <v>37398</v>
      </c>
      <c r="B349" s="1" t="s">
        <v>178</v>
      </c>
      <c r="C349" s="1" t="s">
        <v>472</v>
      </c>
      <c r="D349" s="1" t="s">
        <v>412</v>
      </c>
      <c r="E349" s="1" t="s">
        <v>435</v>
      </c>
      <c r="F349" s="1" t="s">
        <v>438</v>
      </c>
      <c r="G349" s="1" t="s">
        <v>173</v>
      </c>
    </row>
    <row r="350" spans="1:7" x14ac:dyDescent="0.25">
      <c r="A350" s="1">
        <v>37399</v>
      </c>
      <c r="B350" s="1" t="s">
        <v>178</v>
      </c>
      <c r="C350" s="1" t="s">
        <v>472</v>
      </c>
      <c r="D350" s="1" t="s">
        <v>412</v>
      </c>
      <c r="E350" s="1" t="s">
        <v>435</v>
      </c>
      <c r="F350" s="1" t="s">
        <v>439</v>
      </c>
      <c r="G350" s="1" t="s">
        <v>173</v>
      </c>
    </row>
    <row r="351" spans="1:7" x14ac:dyDescent="0.25">
      <c r="A351" s="1">
        <v>37389</v>
      </c>
      <c r="B351" s="1" t="s">
        <v>178</v>
      </c>
      <c r="C351" s="1" t="s">
        <v>472</v>
      </c>
      <c r="D351" s="1" t="s">
        <v>412</v>
      </c>
      <c r="E351" s="1" t="s">
        <v>440</v>
      </c>
      <c r="F351" s="1" t="s">
        <v>441</v>
      </c>
      <c r="G351" s="1" t="s">
        <v>173</v>
      </c>
    </row>
    <row r="352" spans="1:7" x14ac:dyDescent="0.25">
      <c r="A352" s="1">
        <v>37390</v>
      </c>
      <c r="B352" s="1" t="s">
        <v>178</v>
      </c>
      <c r="C352" s="1" t="s">
        <v>472</v>
      </c>
      <c r="D352" s="1" t="s">
        <v>412</v>
      </c>
      <c r="E352" s="1" t="s">
        <v>440</v>
      </c>
      <c r="F352" s="1" t="s">
        <v>442</v>
      </c>
      <c r="G352" s="1" t="s">
        <v>173</v>
      </c>
    </row>
    <row r="353" spans="1:7" x14ac:dyDescent="0.25">
      <c r="A353" s="1">
        <v>37391</v>
      </c>
      <c r="B353" s="1" t="s">
        <v>178</v>
      </c>
      <c r="C353" s="1" t="s">
        <v>472</v>
      </c>
      <c r="D353" s="1" t="s">
        <v>412</v>
      </c>
      <c r="E353" s="1" t="s">
        <v>440</v>
      </c>
      <c r="F353" s="1" t="s">
        <v>443</v>
      </c>
      <c r="G353" s="1" t="s">
        <v>173</v>
      </c>
    </row>
    <row r="354" spans="1:7" x14ac:dyDescent="0.25">
      <c r="A354" s="1">
        <v>37387</v>
      </c>
      <c r="B354" s="1" t="s">
        <v>178</v>
      </c>
      <c r="C354" s="1" t="s">
        <v>472</v>
      </c>
      <c r="D354" s="1" t="s">
        <v>412</v>
      </c>
      <c r="E354" s="1" t="s">
        <v>444</v>
      </c>
      <c r="F354" s="1" t="s">
        <v>445</v>
      </c>
      <c r="G354" s="1" t="s">
        <v>173</v>
      </c>
    </row>
    <row r="355" spans="1:7" x14ac:dyDescent="0.25">
      <c r="A355" s="1">
        <v>37381</v>
      </c>
      <c r="B355" s="1" t="s">
        <v>178</v>
      </c>
      <c r="C355" s="1" t="s">
        <v>472</v>
      </c>
      <c r="D355" s="1" t="s">
        <v>412</v>
      </c>
      <c r="E355" s="1" t="s">
        <v>446</v>
      </c>
      <c r="F355" s="1" t="s">
        <v>447</v>
      </c>
      <c r="G355" s="1" t="s">
        <v>173</v>
      </c>
    </row>
    <row r="356" spans="1:7" x14ac:dyDescent="0.25">
      <c r="A356" s="1">
        <v>37382</v>
      </c>
      <c r="B356" s="1" t="s">
        <v>178</v>
      </c>
      <c r="C356" s="1" t="s">
        <v>472</v>
      </c>
      <c r="D356" s="1" t="s">
        <v>412</v>
      </c>
      <c r="E356" s="1" t="s">
        <v>446</v>
      </c>
      <c r="F356" s="1" t="s">
        <v>448</v>
      </c>
      <c r="G356" s="1" t="s">
        <v>173</v>
      </c>
    </row>
    <row r="357" spans="1:7" x14ac:dyDescent="0.25">
      <c r="A357" s="1">
        <v>58383</v>
      </c>
      <c r="B357" s="1" t="s">
        <v>178</v>
      </c>
      <c r="C357" s="1" t="s">
        <v>472</v>
      </c>
      <c r="D357" s="1" t="s">
        <v>412</v>
      </c>
      <c r="E357" s="1" t="s">
        <v>449</v>
      </c>
      <c r="F357" s="1" t="s">
        <v>450</v>
      </c>
      <c r="G357" s="1" t="s">
        <v>173</v>
      </c>
    </row>
    <row r="358" spans="1:7" x14ac:dyDescent="0.25">
      <c r="A358" s="1">
        <v>58381</v>
      </c>
      <c r="B358" s="1" t="s">
        <v>178</v>
      </c>
      <c r="C358" s="1" t="s">
        <v>472</v>
      </c>
      <c r="D358" s="1" t="s">
        <v>412</v>
      </c>
      <c r="E358" s="1" t="s">
        <v>451</v>
      </c>
      <c r="F358" s="1" t="s">
        <v>452</v>
      </c>
      <c r="G358" s="1" t="s">
        <v>173</v>
      </c>
    </row>
    <row r="359" spans="1:7" x14ac:dyDescent="0.25">
      <c r="A359" s="1">
        <v>58380</v>
      </c>
      <c r="B359" s="1" t="s">
        <v>178</v>
      </c>
      <c r="C359" s="1" t="s">
        <v>472</v>
      </c>
      <c r="D359" s="1" t="s">
        <v>412</v>
      </c>
      <c r="E359" s="1" t="s">
        <v>453</v>
      </c>
      <c r="F359" s="1" t="s">
        <v>454</v>
      </c>
      <c r="G359" s="1" t="s">
        <v>173</v>
      </c>
    </row>
    <row r="360" spans="1:7" x14ac:dyDescent="0.25">
      <c r="A360" s="1">
        <v>37404</v>
      </c>
      <c r="B360" s="1" t="s">
        <v>178</v>
      </c>
      <c r="C360" s="1" t="s">
        <v>472</v>
      </c>
      <c r="D360" s="1" t="s">
        <v>455</v>
      </c>
      <c r="E360" s="1" t="s">
        <v>456</v>
      </c>
      <c r="F360" s="1" t="s">
        <v>457</v>
      </c>
      <c r="G360" s="1" t="s">
        <v>173</v>
      </c>
    </row>
    <row r="361" spans="1:7" x14ac:dyDescent="0.25">
      <c r="A361" s="1">
        <v>37405</v>
      </c>
      <c r="B361" s="1" t="s">
        <v>178</v>
      </c>
      <c r="C361" s="1" t="s">
        <v>472</v>
      </c>
      <c r="D361" s="1" t="s">
        <v>455</v>
      </c>
      <c r="E361" s="1" t="s">
        <v>456</v>
      </c>
      <c r="F361" s="1" t="s">
        <v>458</v>
      </c>
      <c r="G361" s="1" t="s">
        <v>173</v>
      </c>
    </row>
    <row r="362" spans="1:7" x14ac:dyDescent="0.25">
      <c r="A362" s="1">
        <v>37410</v>
      </c>
      <c r="B362" s="1" t="s">
        <v>178</v>
      </c>
      <c r="C362" s="1" t="s">
        <v>472</v>
      </c>
      <c r="D362" s="1" t="s">
        <v>455</v>
      </c>
      <c r="E362" s="1" t="s">
        <v>459</v>
      </c>
      <c r="F362" s="1" t="s">
        <v>460</v>
      </c>
      <c r="G362" s="1" t="s">
        <v>173</v>
      </c>
    </row>
    <row r="363" spans="1:7" x14ac:dyDescent="0.25">
      <c r="A363" s="1">
        <v>37411</v>
      </c>
      <c r="B363" s="1" t="s">
        <v>178</v>
      </c>
      <c r="C363" s="1" t="s">
        <v>472</v>
      </c>
      <c r="D363" s="1" t="s">
        <v>455</v>
      </c>
      <c r="E363" s="1" t="s">
        <v>459</v>
      </c>
      <c r="F363" s="1" t="s">
        <v>461</v>
      </c>
      <c r="G363" s="1" t="s">
        <v>173</v>
      </c>
    </row>
    <row r="364" spans="1:7" x14ac:dyDescent="0.25">
      <c r="A364" s="1">
        <v>37412</v>
      </c>
      <c r="B364" s="1" t="s">
        <v>178</v>
      </c>
      <c r="C364" s="1" t="s">
        <v>472</v>
      </c>
      <c r="D364" s="1" t="s">
        <v>455</v>
      </c>
      <c r="E364" s="1" t="s">
        <v>459</v>
      </c>
      <c r="F364" s="1" t="s">
        <v>462</v>
      </c>
      <c r="G364" s="1" t="s">
        <v>173</v>
      </c>
    </row>
    <row r="365" spans="1:7" x14ac:dyDescent="0.25">
      <c r="A365" s="1">
        <v>37407</v>
      </c>
      <c r="B365" s="1" t="s">
        <v>178</v>
      </c>
      <c r="C365" s="1" t="s">
        <v>472</v>
      </c>
      <c r="D365" s="1" t="s">
        <v>455</v>
      </c>
      <c r="E365" s="1" t="s">
        <v>463</v>
      </c>
      <c r="F365" s="1" t="s">
        <v>464</v>
      </c>
      <c r="G365" s="1" t="s">
        <v>173</v>
      </c>
    </row>
    <row r="366" spans="1:7" x14ac:dyDescent="0.25">
      <c r="A366" s="1">
        <v>37408</v>
      </c>
      <c r="B366" s="1" t="s">
        <v>178</v>
      </c>
      <c r="C366" s="1" t="s">
        <v>472</v>
      </c>
      <c r="D366" s="1" t="s">
        <v>455</v>
      </c>
      <c r="E366" s="1" t="s">
        <v>463</v>
      </c>
      <c r="F366" s="1" t="s">
        <v>465</v>
      </c>
      <c r="G366" s="1" t="s">
        <v>173</v>
      </c>
    </row>
    <row r="367" spans="1:7" x14ac:dyDescent="0.25">
      <c r="A367" s="1">
        <v>37414</v>
      </c>
      <c r="B367" s="1" t="s">
        <v>178</v>
      </c>
      <c r="C367" s="1" t="s">
        <v>472</v>
      </c>
      <c r="D367" s="1" t="s">
        <v>455</v>
      </c>
      <c r="E367" s="1" t="s">
        <v>466</v>
      </c>
      <c r="F367" s="1" t="s">
        <v>467</v>
      </c>
      <c r="G367" s="1" t="s">
        <v>173</v>
      </c>
    </row>
    <row r="368" spans="1:7" x14ac:dyDescent="0.25">
      <c r="A368" s="1">
        <v>37415</v>
      </c>
      <c r="B368" s="1" t="s">
        <v>178</v>
      </c>
      <c r="C368" s="1" t="s">
        <v>472</v>
      </c>
      <c r="D368" s="1" t="s">
        <v>455</v>
      </c>
      <c r="E368" s="1" t="s">
        <v>466</v>
      </c>
      <c r="F368" s="1" t="s">
        <v>468</v>
      </c>
      <c r="G368" s="1" t="s">
        <v>173</v>
      </c>
    </row>
    <row r="369" spans="1:7" x14ac:dyDescent="0.25">
      <c r="A369" s="1">
        <v>37418</v>
      </c>
      <c r="B369" s="1" t="s">
        <v>178</v>
      </c>
      <c r="C369" s="1" t="s">
        <v>472</v>
      </c>
      <c r="D369" s="1" t="s">
        <v>469</v>
      </c>
      <c r="E369" s="1" t="s">
        <v>470</v>
      </c>
      <c r="F369" s="1" t="s">
        <v>471</v>
      </c>
      <c r="G369" s="1" t="s">
        <v>173</v>
      </c>
    </row>
    <row r="370" spans="1:7" x14ac:dyDescent="0.25">
      <c r="A370" s="1">
        <v>48227</v>
      </c>
      <c r="B370" s="1" t="s">
        <v>178</v>
      </c>
      <c r="C370" s="1" t="s">
        <v>479</v>
      </c>
      <c r="D370" s="1" t="s">
        <v>180</v>
      </c>
      <c r="E370" s="1" t="s">
        <v>181</v>
      </c>
      <c r="F370" s="1" t="s">
        <v>182</v>
      </c>
      <c r="G370" s="1" t="s">
        <v>173</v>
      </c>
    </row>
    <row r="371" spans="1:7" x14ac:dyDescent="0.25">
      <c r="A371" s="1">
        <v>48228</v>
      </c>
      <c r="B371" s="1" t="s">
        <v>178</v>
      </c>
      <c r="C371" s="1" t="s">
        <v>479</v>
      </c>
      <c r="D371" s="1" t="s">
        <v>180</v>
      </c>
      <c r="E371" s="1" t="s">
        <v>181</v>
      </c>
      <c r="F371" s="1" t="s">
        <v>183</v>
      </c>
      <c r="G371" s="1" t="s">
        <v>173</v>
      </c>
    </row>
    <row r="372" spans="1:7" x14ac:dyDescent="0.25">
      <c r="A372" s="1">
        <v>48230</v>
      </c>
      <c r="B372" s="1" t="s">
        <v>178</v>
      </c>
      <c r="C372" s="1" t="s">
        <v>479</v>
      </c>
      <c r="D372" s="1" t="s">
        <v>184</v>
      </c>
      <c r="E372" s="1" t="s">
        <v>185</v>
      </c>
      <c r="F372" s="1" t="s">
        <v>473</v>
      </c>
      <c r="G372" s="1" t="s">
        <v>173</v>
      </c>
    </row>
    <row r="373" spans="1:7" x14ac:dyDescent="0.25">
      <c r="A373" s="1">
        <v>48232</v>
      </c>
      <c r="B373" s="1" t="s">
        <v>178</v>
      </c>
      <c r="C373" s="1" t="s">
        <v>479</v>
      </c>
      <c r="D373" s="1" t="s">
        <v>184</v>
      </c>
      <c r="E373" s="1" t="s">
        <v>185</v>
      </c>
      <c r="F373" s="1" t="s">
        <v>474</v>
      </c>
      <c r="G373" s="1" t="s">
        <v>173</v>
      </c>
    </row>
    <row r="374" spans="1:7" x14ac:dyDescent="0.25">
      <c r="A374" s="1">
        <v>48239</v>
      </c>
      <c r="B374" s="1" t="s">
        <v>178</v>
      </c>
      <c r="C374" s="1" t="s">
        <v>479</v>
      </c>
      <c r="D374" s="1" t="s">
        <v>188</v>
      </c>
      <c r="E374" s="1" t="s">
        <v>189</v>
      </c>
      <c r="F374" s="1" t="s">
        <v>190</v>
      </c>
      <c r="G374" s="1" t="s">
        <v>173</v>
      </c>
    </row>
    <row r="375" spans="1:7" x14ac:dyDescent="0.25">
      <c r="A375" s="1">
        <v>48241</v>
      </c>
      <c r="B375" s="1" t="s">
        <v>178</v>
      </c>
      <c r="C375" s="1" t="s">
        <v>479</v>
      </c>
      <c r="D375" s="1" t="s">
        <v>188</v>
      </c>
      <c r="E375" s="1" t="s">
        <v>189</v>
      </c>
      <c r="F375" s="1" t="s">
        <v>191</v>
      </c>
      <c r="G375" s="1" t="s">
        <v>173</v>
      </c>
    </row>
    <row r="376" spans="1:7" x14ac:dyDescent="0.25">
      <c r="A376" s="1">
        <v>48240</v>
      </c>
      <c r="B376" s="1" t="s">
        <v>178</v>
      </c>
      <c r="C376" s="1" t="s">
        <v>479</v>
      </c>
      <c r="D376" s="1" t="s">
        <v>188</v>
      </c>
      <c r="E376" s="1" t="s">
        <v>192</v>
      </c>
      <c r="F376" s="1" t="s">
        <v>193</v>
      </c>
      <c r="G376" s="1" t="s">
        <v>173</v>
      </c>
    </row>
    <row r="377" spans="1:7" x14ac:dyDescent="0.25">
      <c r="A377" s="1">
        <v>48242</v>
      </c>
      <c r="B377" s="1" t="s">
        <v>178</v>
      </c>
      <c r="C377" s="1" t="s">
        <v>479</v>
      </c>
      <c r="D377" s="1" t="s">
        <v>188</v>
      </c>
      <c r="E377" s="1" t="s">
        <v>192</v>
      </c>
      <c r="F377" s="1" t="s">
        <v>194</v>
      </c>
      <c r="G377" s="1" t="s">
        <v>173</v>
      </c>
    </row>
    <row r="378" spans="1:7" x14ac:dyDescent="0.25">
      <c r="A378" s="1">
        <v>48245</v>
      </c>
      <c r="B378" s="1" t="s">
        <v>178</v>
      </c>
      <c r="C378" s="1" t="s">
        <v>479</v>
      </c>
      <c r="D378" s="1" t="s">
        <v>188</v>
      </c>
      <c r="E378" s="1" t="s">
        <v>195</v>
      </c>
      <c r="F378" s="1" t="s">
        <v>196</v>
      </c>
      <c r="G378" s="1" t="s">
        <v>173</v>
      </c>
    </row>
    <row r="379" spans="1:7" x14ac:dyDescent="0.25">
      <c r="A379" s="1">
        <v>48247</v>
      </c>
      <c r="B379" s="1" t="s">
        <v>178</v>
      </c>
      <c r="C379" s="1" t="s">
        <v>479</v>
      </c>
      <c r="D379" s="1" t="s">
        <v>188</v>
      </c>
      <c r="E379" s="1" t="s">
        <v>195</v>
      </c>
      <c r="F379" s="1" t="s">
        <v>197</v>
      </c>
      <c r="G379" s="1" t="s">
        <v>173</v>
      </c>
    </row>
    <row r="380" spans="1:7" x14ac:dyDescent="0.25">
      <c r="A380" s="1">
        <v>48246</v>
      </c>
      <c r="B380" s="1" t="s">
        <v>178</v>
      </c>
      <c r="C380" s="1" t="s">
        <v>479</v>
      </c>
      <c r="D380" s="1" t="s">
        <v>188</v>
      </c>
      <c r="E380" s="1" t="s">
        <v>198</v>
      </c>
      <c r="F380" s="1" t="s">
        <v>199</v>
      </c>
      <c r="G380" s="1" t="s">
        <v>173</v>
      </c>
    </row>
    <row r="381" spans="1:7" x14ac:dyDescent="0.25">
      <c r="A381" s="1">
        <v>48248</v>
      </c>
      <c r="B381" s="1" t="s">
        <v>178</v>
      </c>
      <c r="C381" s="1" t="s">
        <v>479</v>
      </c>
      <c r="D381" s="1" t="s">
        <v>188</v>
      </c>
      <c r="E381" s="1" t="s">
        <v>198</v>
      </c>
      <c r="F381" s="1" t="s">
        <v>200</v>
      </c>
      <c r="G381" s="1" t="s">
        <v>173</v>
      </c>
    </row>
    <row r="382" spans="1:7" x14ac:dyDescent="0.25">
      <c r="A382" s="1">
        <v>48250</v>
      </c>
      <c r="B382" s="1" t="s">
        <v>178</v>
      </c>
      <c r="C382" s="1" t="s">
        <v>479</v>
      </c>
      <c r="D382" s="1" t="s">
        <v>201</v>
      </c>
      <c r="E382" s="1" t="s">
        <v>202</v>
      </c>
      <c r="F382" s="1" t="s">
        <v>203</v>
      </c>
      <c r="G382" s="1" t="s">
        <v>173</v>
      </c>
    </row>
    <row r="383" spans="1:7" x14ac:dyDescent="0.25">
      <c r="A383" s="1">
        <v>48251</v>
      </c>
      <c r="B383" s="1" t="s">
        <v>178</v>
      </c>
      <c r="C383" s="1" t="s">
        <v>479</v>
      </c>
      <c r="D383" s="1" t="s">
        <v>201</v>
      </c>
      <c r="E383" s="1" t="s">
        <v>202</v>
      </c>
      <c r="F383" s="1" t="s">
        <v>204</v>
      </c>
      <c r="G383" s="1" t="s">
        <v>173</v>
      </c>
    </row>
    <row r="384" spans="1:7" x14ac:dyDescent="0.25">
      <c r="A384" s="1">
        <v>48252</v>
      </c>
      <c r="B384" s="1" t="s">
        <v>178</v>
      </c>
      <c r="C384" s="1" t="s">
        <v>479</v>
      </c>
      <c r="D384" s="1" t="s">
        <v>201</v>
      </c>
      <c r="E384" s="1" t="s">
        <v>202</v>
      </c>
      <c r="F384" s="1" t="s">
        <v>205</v>
      </c>
      <c r="G384" s="1" t="s">
        <v>173</v>
      </c>
    </row>
    <row r="385" spans="1:7" x14ac:dyDescent="0.25">
      <c r="A385" s="1">
        <v>48255</v>
      </c>
      <c r="B385" s="1" t="s">
        <v>178</v>
      </c>
      <c r="C385" s="1" t="s">
        <v>479</v>
      </c>
      <c r="D385" s="1" t="s">
        <v>206</v>
      </c>
      <c r="E385" s="1" t="s">
        <v>207</v>
      </c>
      <c r="F385" s="1" t="s">
        <v>480</v>
      </c>
      <c r="G385" s="1" t="s">
        <v>173</v>
      </c>
    </row>
    <row r="386" spans="1:7" x14ac:dyDescent="0.25">
      <c r="A386" s="1">
        <v>48257</v>
      </c>
      <c r="B386" s="1" t="s">
        <v>178</v>
      </c>
      <c r="C386" s="1" t="s">
        <v>479</v>
      </c>
      <c r="D386" s="1" t="s">
        <v>206</v>
      </c>
      <c r="E386" s="1" t="s">
        <v>207</v>
      </c>
      <c r="F386" s="1" t="s">
        <v>481</v>
      </c>
      <c r="G386" s="1" t="s">
        <v>173</v>
      </c>
    </row>
    <row r="387" spans="1:7" x14ac:dyDescent="0.25">
      <c r="A387" s="1">
        <v>48259</v>
      </c>
      <c r="B387" s="1" t="s">
        <v>178</v>
      </c>
      <c r="C387" s="1" t="s">
        <v>479</v>
      </c>
      <c r="D387" s="1" t="s">
        <v>206</v>
      </c>
      <c r="E387" s="1" t="s">
        <v>207</v>
      </c>
      <c r="F387" s="1" t="s">
        <v>482</v>
      </c>
      <c r="G387" s="1" t="s">
        <v>173</v>
      </c>
    </row>
    <row r="388" spans="1:7" x14ac:dyDescent="0.25">
      <c r="A388" s="1">
        <v>48261</v>
      </c>
      <c r="B388" s="1" t="s">
        <v>178</v>
      </c>
      <c r="C388" s="1" t="s">
        <v>479</v>
      </c>
      <c r="D388" s="1" t="s">
        <v>206</v>
      </c>
      <c r="E388" s="1" t="s">
        <v>207</v>
      </c>
      <c r="F388" s="1" t="s">
        <v>483</v>
      </c>
      <c r="G388" s="1" t="s">
        <v>173</v>
      </c>
    </row>
    <row r="389" spans="1:7" x14ac:dyDescent="0.25">
      <c r="A389" s="1">
        <v>48256</v>
      </c>
      <c r="B389" s="1" t="s">
        <v>178</v>
      </c>
      <c r="C389" s="1" t="s">
        <v>479</v>
      </c>
      <c r="D389" s="1" t="s">
        <v>206</v>
      </c>
      <c r="E389" s="1" t="s">
        <v>212</v>
      </c>
      <c r="F389" s="1" t="s">
        <v>484</v>
      </c>
      <c r="G389" s="1" t="s">
        <v>173</v>
      </c>
    </row>
    <row r="390" spans="1:7" x14ac:dyDescent="0.25">
      <c r="A390" s="1">
        <v>48258</v>
      </c>
      <c r="B390" s="1" t="s">
        <v>178</v>
      </c>
      <c r="C390" s="1" t="s">
        <v>479</v>
      </c>
      <c r="D390" s="1" t="s">
        <v>206</v>
      </c>
      <c r="E390" s="1" t="s">
        <v>212</v>
      </c>
      <c r="F390" s="1" t="s">
        <v>485</v>
      </c>
      <c r="G390" s="1" t="s">
        <v>173</v>
      </c>
    </row>
    <row r="391" spans="1:7" x14ac:dyDescent="0.25">
      <c r="A391" s="1">
        <v>48260</v>
      </c>
      <c r="B391" s="1" t="s">
        <v>178</v>
      </c>
      <c r="C391" s="1" t="s">
        <v>479</v>
      </c>
      <c r="D391" s="1" t="s">
        <v>206</v>
      </c>
      <c r="E391" s="1" t="s">
        <v>212</v>
      </c>
      <c r="F391" s="1" t="s">
        <v>486</v>
      </c>
      <c r="G391" s="1" t="s">
        <v>173</v>
      </c>
    </row>
    <row r="392" spans="1:7" x14ac:dyDescent="0.25">
      <c r="A392" s="1">
        <v>48263</v>
      </c>
      <c r="B392" s="1" t="s">
        <v>178</v>
      </c>
      <c r="C392" s="1" t="s">
        <v>479</v>
      </c>
      <c r="D392" s="1" t="s">
        <v>216</v>
      </c>
      <c r="E392" s="1" t="s">
        <v>217</v>
      </c>
      <c r="F392" s="1" t="s">
        <v>475</v>
      </c>
      <c r="G392" s="1" t="s">
        <v>173</v>
      </c>
    </row>
    <row r="393" spans="1:7" x14ac:dyDescent="0.25">
      <c r="A393" s="1">
        <v>48264</v>
      </c>
      <c r="B393" s="1" t="s">
        <v>178</v>
      </c>
      <c r="C393" s="1" t="s">
        <v>479</v>
      </c>
      <c r="D393" s="1" t="s">
        <v>216</v>
      </c>
      <c r="E393" s="1" t="s">
        <v>217</v>
      </c>
      <c r="F393" s="1" t="s">
        <v>476</v>
      </c>
      <c r="G393" s="1" t="s">
        <v>173</v>
      </c>
    </row>
    <row r="394" spans="1:7" x14ac:dyDescent="0.25">
      <c r="A394" s="1">
        <v>48265</v>
      </c>
      <c r="B394" s="1" t="s">
        <v>178</v>
      </c>
      <c r="C394" s="1" t="s">
        <v>479</v>
      </c>
      <c r="D394" s="1" t="s">
        <v>216</v>
      </c>
      <c r="E394" s="1" t="s">
        <v>217</v>
      </c>
      <c r="F394" s="1" t="s">
        <v>477</v>
      </c>
      <c r="G394" s="1" t="s">
        <v>173</v>
      </c>
    </row>
    <row r="395" spans="1:7" x14ac:dyDescent="0.25">
      <c r="A395" s="1">
        <v>58574</v>
      </c>
      <c r="B395" s="1" t="s">
        <v>178</v>
      </c>
      <c r="C395" s="1" t="s">
        <v>479</v>
      </c>
      <c r="D395" s="1" t="s">
        <v>216</v>
      </c>
      <c r="E395" s="1" t="s">
        <v>221</v>
      </c>
      <c r="F395" s="1" t="s">
        <v>222</v>
      </c>
      <c r="G395" s="1" t="s">
        <v>173</v>
      </c>
    </row>
    <row r="396" spans="1:7" x14ac:dyDescent="0.25">
      <c r="A396" s="1">
        <v>58575</v>
      </c>
      <c r="B396" s="1" t="s">
        <v>178</v>
      </c>
      <c r="C396" s="1" t="s">
        <v>479</v>
      </c>
      <c r="D396" s="1" t="s">
        <v>216</v>
      </c>
      <c r="E396" s="1" t="s">
        <v>221</v>
      </c>
      <c r="F396" s="1" t="s">
        <v>223</v>
      </c>
      <c r="G396" s="1" t="s">
        <v>173</v>
      </c>
    </row>
    <row r="397" spans="1:7" x14ac:dyDescent="0.25">
      <c r="A397" s="1">
        <v>58576</v>
      </c>
      <c r="B397" s="1" t="s">
        <v>178</v>
      </c>
      <c r="C397" s="1" t="s">
        <v>479</v>
      </c>
      <c r="D397" s="1" t="s">
        <v>216</v>
      </c>
      <c r="E397" s="1" t="s">
        <v>224</v>
      </c>
      <c r="F397" s="1" t="s">
        <v>225</v>
      </c>
      <c r="G397" s="1" t="s">
        <v>173</v>
      </c>
    </row>
    <row r="398" spans="1:7" x14ac:dyDescent="0.25">
      <c r="A398" s="1">
        <v>58577</v>
      </c>
      <c r="B398" s="1" t="s">
        <v>178</v>
      </c>
      <c r="C398" s="1" t="s">
        <v>479</v>
      </c>
      <c r="D398" s="1" t="s">
        <v>216</v>
      </c>
      <c r="E398" s="1" t="s">
        <v>224</v>
      </c>
      <c r="F398" s="1" t="s">
        <v>226</v>
      </c>
      <c r="G398" s="1" t="s">
        <v>173</v>
      </c>
    </row>
    <row r="399" spans="1:7" x14ac:dyDescent="0.25">
      <c r="A399" s="1">
        <v>58578</v>
      </c>
      <c r="B399" s="1" t="s">
        <v>178</v>
      </c>
      <c r="C399" s="1" t="s">
        <v>479</v>
      </c>
      <c r="D399" s="1" t="s">
        <v>216</v>
      </c>
      <c r="E399" s="1" t="s">
        <v>224</v>
      </c>
      <c r="F399" s="1" t="s">
        <v>227</v>
      </c>
      <c r="G399" s="1" t="s">
        <v>173</v>
      </c>
    </row>
    <row r="400" spans="1:7" x14ac:dyDescent="0.25">
      <c r="A400" s="1">
        <v>48268</v>
      </c>
      <c r="B400" s="1" t="s">
        <v>178</v>
      </c>
      <c r="C400" s="1" t="s">
        <v>479</v>
      </c>
      <c r="D400" s="1" t="s">
        <v>228</v>
      </c>
      <c r="E400" s="1" t="s">
        <v>229</v>
      </c>
      <c r="F400" s="1" t="s">
        <v>487</v>
      </c>
      <c r="G400" s="1" t="s">
        <v>173</v>
      </c>
    </row>
    <row r="401" spans="1:7" x14ac:dyDescent="0.25">
      <c r="A401" s="1">
        <v>48270</v>
      </c>
      <c r="B401" s="1" t="s">
        <v>178</v>
      </c>
      <c r="C401" s="1" t="s">
        <v>479</v>
      </c>
      <c r="D401" s="1" t="s">
        <v>228</v>
      </c>
      <c r="E401" s="1" t="s">
        <v>229</v>
      </c>
      <c r="F401" s="1" t="s">
        <v>488</v>
      </c>
      <c r="G401" s="1" t="s">
        <v>173</v>
      </c>
    </row>
    <row r="402" spans="1:7" x14ac:dyDescent="0.25">
      <c r="A402" s="1">
        <v>48273</v>
      </c>
      <c r="B402" s="1" t="s">
        <v>178</v>
      </c>
      <c r="C402" s="1" t="s">
        <v>479</v>
      </c>
      <c r="D402" s="1" t="s">
        <v>228</v>
      </c>
      <c r="E402" s="1" t="s">
        <v>229</v>
      </c>
      <c r="F402" s="1" t="s">
        <v>489</v>
      </c>
      <c r="G402" s="1" t="s">
        <v>173</v>
      </c>
    </row>
    <row r="403" spans="1:7" x14ac:dyDescent="0.25">
      <c r="A403" s="1">
        <v>48275</v>
      </c>
      <c r="B403" s="1" t="s">
        <v>178</v>
      </c>
      <c r="C403" s="1" t="s">
        <v>479</v>
      </c>
      <c r="D403" s="1" t="s">
        <v>228</v>
      </c>
      <c r="E403" s="1" t="s">
        <v>229</v>
      </c>
      <c r="F403" s="1" t="s">
        <v>490</v>
      </c>
      <c r="G403" s="1" t="s">
        <v>173</v>
      </c>
    </row>
    <row r="404" spans="1:7" x14ac:dyDescent="0.25">
      <c r="A404" s="1">
        <v>48269</v>
      </c>
      <c r="B404" s="1" t="s">
        <v>178</v>
      </c>
      <c r="C404" s="1" t="s">
        <v>479</v>
      </c>
      <c r="D404" s="1" t="s">
        <v>228</v>
      </c>
      <c r="E404" s="1" t="s">
        <v>234</v>
      </c>
      <c r="F404" s="1" t="s">
        <v>491</v>
      </c>
      <c r="G404" s="1" t="s">
        <v>173</v>
      </c>
    </row>
    <row r="405" spans="1:7" x14ac:dyDescent="0.25">
      <c r="A405" s="1">
        <v>48271</v>
      </c>
      <c r="B405" s="1" t="s">
        <v>178</v>
      </c>
      <c r="C405" s="1" t="s">
        <v>479</v>
      </c>
      <c r="D405" s="1" t="s">
        <v>228</v>
      </c>
      <c r="E405" s="1" t="s">
        <v>234</v>
      </c>
      <c r="F405" s="1" t="s">
        <v>492</v>
      </c>
      <c r="G405" s="1" t="s">
        <v>173</v>
      </c>
    </row>
    <row r="406" spans="1:7" x14ac:dyDescent="0.25">
      <c r="A406" s="1">
        <v>48274</v>
      </c>
      <c r="B406" s="1" t="s">
        <v>178</v>
      </c>
      <c r="C406" s="1" t="s">
        <v>479</v>
      </c>
      <c r="D406" s="1" t="s">
        <v>228</v>
      </c>
      <c r="E406" s="1" t="s">
        <v>237</v>
      </c>
      <c r="F406" s="1" t="s">
        <v>238</v>
      </c>
      <c r="G406" s="1" t="s">
        <v>173</v>
      </c>
    </row>
    <row r="407" spans="1:7" x14ac:dyDescent="0.25">
      <c r="A407" s="1">
        <v>48498</v>
      </c>
      <c r="B407" s="1" t="s">
        <v>178</v>
      </c>
      <c r="C407" s="1" t="s">
        <v>479</v>
      </c>
      <c r="D407" s="1" t="s">
        <v>228</v>
      </c>
      <c r="E407" s="1" t="s">
        <v>237</v>
      </c>
      <c r="F407" s="1" t="s">
        <v>239</v>
      </c>
      <c r="G407" s="1" t="s">
        <v>173</v>
      </c>
    </row>
    <row r="408" spans="1:7" x14ac:dyDescent="0.25">
      <c r="A408" s="1">
        <v>48277</v>
      </c>
      <c r="B408" s="1" t="s">
        <v>178</v>
      </c>
      <c r="C408" s="1" t="s">
        <v>479</v>
      </c>
      <c r="D408" s="1" t="s">
        <v>228</v>
      </c>
      <c r="E408" s="1" t="s">
        <v>240</v>
      </c>
      <c r="F408" s="1" t="s">
        <v>241</v>
      </c>
      <c r="G408" s="1" t="s">
        <v>173</v>
      </c>
    </row>
    <row r="409" spans="1:7" x14ac:dyDescent="0.25">
      <c r="A409" s="1">
        <v>48499</v>
      </c>
      <c r="B409" s="1" t="s">
        <v>178</v>
      </c>
      <c r="C409" s="1" t="s">
        <v>479</v>
      </c>
      <c r="D409" s="1" t="s">
        <v>228</v>
      </c>
      <c r="E409" s="1" t="s">
        <v>240</v>
      </c>
      <c r="F409" s="1" t="s">
        <v>242</v>
      </c>
      <c r="G409" s="1" t="s">
        <v>173</v>
      </c>
    </row>
    <row r="410" spans="1:7" x14ac:dyDescent="0.25">
      <c r="A410" s="1">
        <v>48282</v>
      </c>
      <c r="B410" s="1" t="s">
        <v>178</v>
      </c>
      <c r="C410" s="1" t="s">
        <v>479</v>
      </c>
      <c r="D410" s="1" t="s">
        <v>243</v>
      </c>
      <c r="E410" s="1" t="s">
        <v>244</v>
      </c>
      <c r="F410" s="1" t="s">
        <v>245</v>
      </c>
      <c r="G410" s="1" t="s">
        <v>173</v>
      </c>
    </row>
    <row r="411" spans="1:7" x14ac:dyDescent="0.25">
      <c r="A411" s="1">
        <v>48284</v>
      </c>
      <c r="B411" s="1" t="s">
        <v>178</v>
      </c>
      <c r="C411" s="1" t="s">
        <v>479</v>
      </c>
      <c r="D411" s="1" t="s">
        <v>243</v>
      </c>
      <c r="E411" s="1" t="s">
        <v>244</v>
      </c>
      <c r="F411" s="1" t="s">
        <v>246</v>
      </c>
      <c r="G411" s="1" t="s">
        <v>173</v>
      </c>
    </row>
    <row r="412" spans="1:7" x14ac:dyDescent="0.25">
      <c r="A412" s="1">
        <v>48283</v>
      </c>
      <c r="B412" s="1" t="s">
        <v>178</v>
      </c>
      <c r="C412" s="1" t="s">
        <v>479</v>
      </c>
      <c r="D412" s="1" t="s">
        <v>243</v>
      </c>
      <c r="E412" s="1" t="s">
        <v>247</v>
      </c>
      <c r="F412" s="1" t="s">
        <v>248</v>
      </c>
      <c r="G412" s="1" t="s">
        <v>173</v>
      </c>
    </row>
    <row r="413" spans="1:7" x14ac:dyDescent="0.25">
      <c r="A413" s="1">
        <v>48285</v>
      </c>
      <c r="B413" s="1" t="s">
        <v>178</v>
      </c>
      <c r="C413" s="1" t="s">
        <v>479</v>
      </c>
      <c r="D413" s="1" t="s">
        <v>243</v>
      </c>
      <c r="E413" s="1" t="s">
        <v>247</v>
      </c>
      <c r="F413" s="1" t="s">
        <v>249</v>
      </c>
      <c r="G413" s="1" t="s">
        <v>173</v>
      </c>
    </row>
    <row r="414" spans="1:7" x14ac:dyDescent="0.25">
      <c r="A414" s="1">
        <v>48289</v>
      </c>
      <c r="B414" s="1" t="s">
        <v>178</v>
      </c>
      <c r="C414" s="1" t="s">
        <v>479</v>
      </c>
      <c r="D414" s="1" t="s">
        <v>250</v>
      </c>
      <c r="E414" s="1" t="s">
        <v>251</v>
      </c>
      <c r="F414" s="1" t="s">
        <v>493</v>
      </c>
      <c r="G414" s="1" t="s">
        <v>173</v>
      </c>
    </row>
    <row r="415" spans="1:7" x14ac:dyDescent="0.25">
      <c r="A415" s="1">
        <v>48291</v>
      </c>
      <c r="B415" s="1" t="s">
        <v>178</v>
      </c>
      <c r="C415" s="1" t="s">
        <v>479</v>
      </c>
      <c r="D415" s="1" t="s">
        <v>60</v>
      </c>
      <c r="E415" s="1" t="s">
        <v>253</v>
      </c>
      <c r="F415" s="1" t="s">
        <v>254</v>
      </c>
      <c r="G415" s="1" t="s">
        <v>173</v>
      </c>
    </row>
    <row r="416" spans="1:7" x14ac:dyDescent="0.25">
      <c r="A416" s="1">
        <v>48292</v>
      </c>
      <c r="B416" s="1" t="s">
        <v>178</v>
      </c>
      <c r="C416" s="1" t="s">
        <v>479</v>
      </c>
      <c r="D416" s="1" t="s">
        <v>60</v>
      </c>
      <c r="E416" s="1" t="s">
        <v>253</v>
      </c>
      <c r="F416" s="1" t="s">
        <v>255</v>
      </c>
      <c r="G416" s="1" t="s">
        <v>173</v>
      </c>
    </row>
    <row r="417" spans="1:7" x14ac:dyDescent="0.25">
      <c r="A417" s="1">
        <v>48293</v>
      </c>
      <c r="B417" s="1" t="s">
        <v>178</v>
      </c>
      <c r="C417" s="1" t="s">
        <v>479</v>
      </c>
      <c r="D417" s="1" t="s">
        <v>60</v>
      </c>
      <c r="E417" s="1" t="s">
        <v>253</v>
      </c>
      <c r="F417" s="1" t="s">
        <v>256</v>
      </c>
      <c r="G417" s="1" t="s">
        <v>173</v>
      </c>
    </row>
    <row r="418" spans="1:7" x14ac:dyDescent="0.25">
      <c r="A418" s="1">
        <v>48294</v>
      </c>
      <c r="B418" s="1" t="s">
        <v>178</v>
      </c>
      <c r="C418" s="1" t="s">
        <v>479</v>
      </c>
      <c r="D418" s="1" t="s">
        <v>60</v>
      </c>
      <c r="E418" s="1" t="s">
        <v>253</v>
      </c>
      <c r="F418" s="1" t="s">
        <v>257</v>
      </c>
      <c r="G418" s="1" t="s">
        <v>173</v>
      </c>
    </row>
    <row r="419" spans="1:7" x14ac:dyDescent="0.25">
      <c r="A419" s="1">
        <v>48303</v>
      </c>
      <c r="B419" s="1" t="s">
        <v>178</v>
      </c>
      <c r="C419" s="1" t="s">
        <v>479</v>
      </c>
      <c r="D419" s="1" t="s">
        <v>258</v>
      </c>
      <c r="E419" s="1" t="s">
        <v>259</v>
      </c>
      <c r="F419" s="1" t="s">
        <v>260</v>
      </c>
      <c r="G419" s="1" t="s">
        <v>173</v>
      </c>
    </row>
    <row r="420" spans="1:7" x14ac:dyDescent="0.25">
      <c r="A420" s="1">
        <v>48297</v>
      </c>
      <c r="B420" s="1" t="s">
        <v>178</v>
      </c>
      <c r="C420" s="1" t="s">
        <v>479</v>
      </c>
      <c r="D420" s="1" t="s">
        <v>261</v>
      </c>
      <c r="E420" s="1" t="s">
        <v>262</v>
      </c>
      <c r="F420" s="1" t="s">
        <v>494</v>
      </c>
      <c r="G420" s="1" t="s">
        <v>173</v>
      </c>
    </row>
    <row r="421" spans="1:7" x14ac:dyDescent="0.25">
      <c r="A421" s="1">
        <v>48298</v>
      </c>
      <c r="B421" s="1" t="s">
        <v>178</v>
      </c>
      <c r="C421" s="1" t="s">
        <v>479</v>
      </c>
      <c r="D421" s="1" t="s">
        <v>261</v>
      </c>
      <c r="E421" s="1" t="s">
        <v>262</v>
      </c>
      <c r="F421" s="1" t="s">
        <v>495</v>
      </c>
      <c r="G421" s="1" t="s">
        <v>173</v>
      </c>
    </row>
    <row r="422" spans="1:7" x14ac:dyDescent="0.25">
      <c r="A422" s="1">
        <v>48299</v>
      </c>
      <c r="B422" s="1" t="s">
        <v>178</v>
      </c>
      <c r="C422" s="1" t="s">
        <v>479</v>
      </c>
      <c r="D422" s="1" t="s">
        <v>261</v>
      </c>
      <c r="E422" s="1" t="s">
        <v>262</v>
      </c>
      <c r="F422" s="1" t="s">
        <v>496</v>
      </c>
      <c r="G422" s="1" t="s">
        <v>173</v>
      </c>
    </row>
    <row r="423" spans="1:7" x14ac:dyDescent="0.25">
      <c r="A423" s="1">
        <v>48307</v>
      </c>
      <c r="B423" s="1" t="s">
        <v>178</v>
      </c>
      <c r="C423" s="1" t="s">
        <v>479</v>
      </c>
      <c r="D423" s="1" t="s">
        <v>261</v>
      </c>
      <c r="E423" s="1" t="s">
        <v>266</v>
      </c>
      <c r="F423" s="1" t="s">
        <v>497</v>
      </c>
      <c r="G423" s="1" t="s">
        <v>173</v>
      </c>
    </row>
    <row r="424" spans="1:7" x14ac:dyDescent="0.25">
      <c r="A424" s="1">
        <v>48302</v>
      </c>
      <c r="B424" s="1" t="s">
        <v>178</v>
      </c>
      <c r="C424" s="1" t="s">
        <v>479</v>
      </c>
      <c r="D424" s="1" t="s">
        <v>261</v>
      </c>
      <c r="E424" s="1" t="s">
        <v>266</v>
      </c>
      <c r="F424" s="1" t="s">
        <v>498</v>
      </c>
      <c r="G424" s="1" t="s">
        <v>173</v>
      </c>
    </row>
    <row r="425" spans="1:7" x14ac:dyDescent="0.25">
      <c r="A425" s="1">
        <v>48301</v>
      </c>
      <c r="B425" s="1" t="s">
        <v>178</v>
      </c>
      <c r="C425" s="1" t="s">
        <v>479</v>
      </c>
      <c r="D425" s="1" t="s">
        <v>261</v>
      </c>
      <c r="E425" s="1" t="s">
        <v>269</v>
      </c>
      <c r="F425" s="1" t="s">
        <v>499</v>
      </c>
      <c r="G425" s="1" t="s">
        <v>173</v>
      </c>
    </row>
    <row r="426" spans="1:7" x14ac:dyDescent="0.25">
      <c r="A426" s="1">
        <v>48309</v>
      </c>
      <c r="B426" s="1" t="s">
        <v>178</v>
      </c>
      <c r="C426" s="1" t="s">
        <v>479</v>
      </c>
      <c r="D426" s="1" t="s">
        <v>261</v>
      </c>
      <c r="E426" s="1" t="s">
        <v>269</v>
      </c>
      <c r="F426" s="1" t="s">
        <v>500</v>
      </c>
      <c r="G426" s="1" t="s">
        <v>173</v>
      </c>
    </row>
    <row r="427" spans="1:7" x14ac:dyDescent="0.25">
      <c r="A427" s="1">
        <v>48306</v>
      </c>
      <c r="B427" s="1" t="s">
        <v>178</v>
      </c>
      <c r="C427" s="1" t="s">
        <v>479</v>
      </c>
      <c r="D427" s="1" t="s">
        <v>261</v>
      </c>
      <c r="E427" s="1" t="s">
        <v>272</v>
      </c>
      <c r="F427" s="1" t="s">
        <v>273</v>
      </c>
      <c r="G427" s="1" t="s">
        <v>173</v>
      </c>
    </row>
    <row r="428" spans="1:7" x14ac:dyDescent="0.25">
      <c r="A428" s="1">
        <v>48308</v>
      </c>
      <c r="B428" s="1" t="s">
        <v>178</v>
      </c>
      <c r="C428" s="1" t="s">
        <v>479</v>
      </c>
      <c r="D428" s="1" t="s">
        <v>261</v>
      </c>
      <c r="E428" s="1" t="s">
        <v>272</v>
      </c>
      <c r="F428" s="1" t="s">
        <v>274</v>
      </c>
      <c r="G428" s="1" t="s">
        <v>173</v>
      </c>
    </row>
    <row r="429" spans="1:7" x14ac:dyDescent="0.25">
      <c r="A429" s="1">
        <v>48310</v>
      </c>
      <c r="B429" s="1" t="s">
        <v>178</v>
      </c>
      <c r="C429" s="1" t="s">
        <v>479</v>
      </c>
      <c r="D429" s="1" t="s">
        <v>261</v>
      </c>
      <c r="E429" s="1" t="s">
        <v>272</v>
      </c>
      <c r="F429" s="1" t="s">
        <v>275</v>
      </c>
      <c r="G429" s="1" t="s">
        <v>173</v>
      </c>
    </row>
    <row r="430" spans="1:7" x14ac:dyDescent="0.25">
      <c r="A430" s="1">
        <v>48311</v>
      </c>
      <c r="B430" s="1" t="s">
        <v>178</v>
      </c>
      <c r="C430" s="1" t="s">
        <v>479</v>
      </c>
      <c r="D430" s="1" t="s">
        <v>261</v>
      </c>
      <c r="E430" s="1" t="s">
        <v>272</v>
      </c>
      <c r="F430" s="1" t="s">
        <v>276</v>
      </c>
      <c r="G430" s="1" t="s">
        <v>173</v>
      </c>
    </row>
    <row r="431" spans="1:7" x14ac:dyDescent="0.25">
      <c r="A431" s="1">
        <v>48312</v>
      </c>
      <c r="B431" s="1" t="s">
        <v>178</v>
      </c>
      <c r="C431" s="1" t="s">
        <v>479</v>
      </c>
      <c r="D431" s="1" t="s">
        <v>261</v>
      </c>
      <c r="E431" s="1" t="s">
        <v>272</v>
      </c>
      <c r="F431" s="1" t="s">
        <v>501</v>
      </c>
      <c r="G431" s="1" t="s">
        <v>173</v>
      </c>
    </row>
    <row r="432" spans="1:7" x14ac:dyDescent="0.25">
      <c r="A432" s="1">
        <v>48316</v>
      </c>
      <c r="B432" s="1" t="s">
        <v>178</v>
      </c>
      <c r="C432" s="1" t="s">
        <v>479</v>
      </c>
      <c r="D432" s="1" t="s">
        <v>261</v>
      </c>
      <c r="E432" s="1" t="s">
        <v>278</v>
      </c>
      <c r="F432" s="1" t="s">
        <v>279</v>
      </c>
      <c r="G432" s="1" t="s">
        <v>173</v>
      </c>
    </row>
    <row r="433" spans="1:7" x14ac:dyDescent="0.25">
      <c r="A433" s="1">
        <v>48318</v>
      </c>
      <c r="B433" s="1" t="s">
        <v>178</v>
      </c>
      <c r="C433" s="1" t="s">
        <v>479</v>
      </c>
      <c r="D433" s="1" t="s">
        <v>261</v>
      </c>
      <c r="E433" s="1" t="s">
        <v>278</v>
      </c>
      <c r="F433" s="1" t="s">
        <v>280</v>
      </c>
      <c r="G433" s="1" t="s">
        <v>173</v>
      </c>
    </row>
    <row r="434" spans="1:7" x14ac:dyDescent="0.25">
      <c r="A434" s="1">
        <v>48315</v>
      </c>
      <c r="B434" s="1" t="s">
        <v>178</v>
      </c>
      <c r="C434" s="1" t="s">
        <v>479</v>
      </c>
      <c r="D434" s="1" t="s">
        <v>261</v>
      </c>
      <c r="E434" s="1" t="s">
        <v>281</v>
      </c>
      <c r="F434" s="1" t="s">
        <v>502</v>
      </c>
      <c r="G434" s="1" t="s">
        <v>173</v>
      </c>
    </row>
    <row r="435" spans="1:7" x14ac:dyDescent="0.25">
      <c r="A435" s="1">
        <v>48317</v>
      </c>
      <c r="B435" s="1" t="s">
        <v>178</v>
      </c>
      <c r="C435" s="1" t="s">
        <v>479</v>
      </c>
      <c r="D435" s="1" t="s">
        <v>261</v>
      </c>
      <c r="E435" s="1" t="s">
        <v>281</v>
      </c>
      <c r="F435" s="1" t="s">
        <v>503</v>
      </c>
      <c r="G435" s="1" t="s">
        <v>173</v>
      </c>
    </row>
    <row r="436" spans="1:7" x14ac:dyDescent="0.25">
      <c r="A436" s="1">
        <v>48321</v>
      </c>
      <c r="B436" s="1" t="s">
        <v>178</v>
      </c>
      <c r="C436" s="1" t="s">
        <v>479</v>
      </c>
      <c r="D436" s="1" t="s">
        <v>284</v>
      </c>
      <c r="E436" s="1" t="s">
        <v>285</v>
      </c>
      <c r="F436" s="1" t="s">
        <v>286</v>
      </c>
      <c r="G436" s="1" t="s">
        <v>173</v>
      </c>
    </row>
    <row r="437" spans="1:7" x14ac:dyDescent="0.25">
      <c r="A437" s="1">
        <v>48323</v>
      </c>
      <c r="B437" s="1" t="s">
        <v>178</v>
      </c>
      <c r="C437" s="1" t="s">
        <v>479</v>
      </c>
      <c r="D437" s="1" t="s">
        <v>284</v>
      </c>
      <c r="E437" s="1" t="s">
        <v>285</v>
      </c>
      <c r="F437" s="1" t="s">
        <v>287</v>
      </c>
      <c r="G437" s="1" t="s">
        <v>173</v>
      </c>
    </row>
    <row r="438" spans="1:7" x14ac:dyDescent="0.25">
      <c r="A438" s="1">
        <v>48324</v>
      </c>
      <c r="B438" s="1" t="s">
        <v>178</v>
      </c>
      <c r="C438" s="1" t="s">
        <v>479</v>
      </c>
      <c r="D438" s="1" t="s">
        <v>284</v>
      </c>
      <c r="E438" s="1" t="s">
        <v>285</v>
      </c>
      <c r="F438" s="1" t="s">
        <v>288</v>
      </c>
      <c r="G438" s="1" t="s">
        <v>173</v>
      </c>
    </row>
    <row r="439" spans="1:7" x14ac:dyDescent="0.25">
      <c r="A439" s="1">
        <v>48325</v>
      </c>
      <c r="B439" s="1" t="s">
        <v>178</v>
      </c>
      <c r="C439" s="1" t="s">
        <v>479</v>
      </c>
      <c r="D439" s="1" t="s">
        <v>284</v>
      </c>
      <c r="E439" s="1" t="s">
        <v>285</v>
      </c>
      <c r="F439" s="1" t="s">
        <v>289</v>
      </c>
      <c r="G439" s="1" t="s">
        <v>173</v>
      </c>
    </row>
    <row r="440" spans="1:7" x14ac:dyDescent="0.25">
      <c r="A440" s="1">
        <v>48322</v>
      </c>
      <c r="B440" s="1" t="s">
        <v>178</v>
      </c>
      <c r="C440" s="1" t="s">
        <v>479</v>
      </c>
      <c r="D440" s="1" t="s">
        <v>290</v>
      </c>
      <c r="E440" s="1" t="s">
        <v>291</v>
      </c>
      <c r="F440" s="1" t="s">
        <v>292</v>
      </c>
      <c r="G440" s="1" t="s">
        <v>173</v>
      </c>
    </row>
    <row r="441" spans="1:7" x14ac:dyDescent="0.25">
      <c r="A441" s="1">
        <v>48327</v>
      </c>
      <c r="B441" s="1" t="s">
        <v>178</v>
      </c>
      <c r="C441" s="1" t="s">
        <v>479</v>
      </c>
      <c r="D441" s="1" t="s">
        <v>293</v>
      </c>
      <c r="E441" s="1" t="s">
        <v>294</v>
      </c>
      <c r="F441" s="1" t="s">
        <v>504</v>
      </c>
      <c r="G441" s="1" t="s">
        <v>173</v>
      </c>
    </row>
    <row r="442" spans="1:7" x14ac:dyDescent="0.25">
      <c r="A442" s="1">
        <v>48328</v>
      </c>
      <c r="B442" s="1" t="s">
        <v>178</v>
      </c>
      <c r="C442" s="1" t="s">
        <v>479</v>
      </c>
      <c r="D442" s="1" t="s">
        <v>293</v>
      </c>
      <c r="E442" s="1" t="s">
        <v>294</v>
      </c>
      <c r="F442" s="1" t="s">
        <v>505</v>
      </c>
      <c r="G442" s="1" t="s">
        <v>173</v>
      </c>
    </row>
    <row r="443" spans="1:7" x14ac:dyDescent="0.25">
      <c r="A443" s="1">
        <v>48331</v>
      </c>
      <c r="B443" s="1" t="s">
        <v>178</v>
      </c>
      <c r="C443" s="1" t="s">
        <v>479</v>
      </c>
      <c r="D443" s="1" t="s">
        <v>297</v>
      </c>
      <c r="E443" s="1" t="s">
        <v>298</v>
      </c>
      <c r="F443" s="1" t="s">
        <v>506</v>
      </c>
      <c r="G443" s="1" t="s">
        <v>173</v>
      </c>
    </row>
    <row r="444" spans="1:7" x14ac:dyDescent="0.25">
      <c r="A444" s="1">
        <v>48333</v>
      </c>
      <c r="B444" s="1" t="s">
        <v>178</v>
      </c>
      <c r="C444" s="1" t="s">
        <v>479</v>
      </c>
      <c r="D444" s="1" t="s">
        <v>297</v>
      </c>
      <c r="E444" s="1" t="s">
        <v>298</v>
      </c>
      <c r="F444" s="1" t="s">
        <v>507</v>
      </c>
      <c r="G444" s="1" t="s">
        <v>173</v>
      </c>
    </row>
    <row r="445" spans="1:7" x14ac:dyDescent="0.25">
      <c r="A445" s="1">
        <v>48332</v>
      </c>
      <c r="B445" s="1" t="s">
        <v>178</v>
      </c>
      <c r="C445" s="1" t="s">
        <v>479</v>
      </c>
      <c r="D445" s="1" t="s">
        <v>297</v>
      </c>
      <c r="E445" s="1" t="s">
        <v>301</v>
      </c>
      <c r="F445" s="1" t="s">
        <v>508</v>
      </c>
      <c r="G445" s="1" t="s">
        <v>173</v>
      </c>
    </row>
    <row r="446" spans="1:7" x14ac:dyDescent="0.25">
      <c r="A446" s="1">
        <v>48334</v>
      </c>
      <c r="B446" s="1" t="s">
        <v>178</v>
      </c>
      <c r="C446" s="1" t="s">
        <v>479</v>
      </c>
      <c r="D446" s="1" t="s">
        <v>297</v>
      </c>
      <c r="E446" s="1" t="s">
        <v>301</v>
      </c>
      <c r="F446" s="1" t="s">
        <v>509</v>
      </c>
      <c r="G446" s="1" t="s">
        <v>173</v>
      </c>
    </row>
    <row r="447" spans="1:7" x14ac:dyDescent="0.25">
      <c r="A447" s="1">
        <v>48336</v>
      </c>
      <c r="B447" s="1" t="s">
        <v>178</v>
      </c>
      <c r="C447" s="1" t="s">
        <v>479</v>
      </c>
      <c r="D447" s="1" t="s">
        <v>297</v>
      </c>
      <c r="E447" s="1" t="s">
        <v>301</v>
      </c>
      <c r="F447" s="1" t="s">
        <v>510</v>
      </c>
      <c r="G447" s="1" t="s">
        <v>173</v>
      </c>
    </row>
    <row r="448" spans="1:7" x14ac:dyDescent="0.25">
      <c r="A448" s="1">
        <v>48337</v>
      </c>
      <c r="B448" s="1" t="s">
        <v>178</v>
      </c>
      <c r="C448" s="1" t="s">
        <v>479</v>
      </c>
      <c r="D448" s="1" t="s">
        <v>297</v>
      </c>
      <c r="E448" s="1" t="s">
        <v>305</v>
      </c>
      <c r="F448" s="1" t="s">
        <v>306</v>
      </c>
      <c r="G448" s="1" t="s">
        <v>173</v>
      </c>
    </row>
    <row r="449" spans="1:7" x14ac:dyDescent="0.25">
      <c r="A449" s="1">
        <v>48338</v>
      </c>
      <c r="B449" s="1" t="s">
        <v>178</v>
      </c>
      <c r="C449" s="1" t="s">
        <v>479</v>
      </c>
      <c r="D449" s="1" t="s">
        <v>297</v>
      </c>
      <c r="E449" s="1" t="s">
        <v>305</v>
      </c>
      <c r="F449" s="1" t="s">
        <v>307</v>
      </c>
      <c r="G449" s="1" t="s">
        <v>173</v>
      </c>
    </row>
    <row r="450" spans="1:7" x14ac:dyDescent="0.25">
      <c r="A450" s="1">
        <v>49573</v>
      </c>
      <c r="B450" s="1" t="s">
        <v>178</v>
      </c>
      <c r="C450" s="1" t="s">
        <v>479</v>
      </c>
      <c r="D450" s="1" t="s">
        <v>297</v>
      </c>
      <c r="E450" s="1" t="s">
        <v>308</v>
      </c>
      <c r="F450" s="1" t="s">
        <v>309</v>
      </c>
      <c r="G450" s="1" t="s">
        <v>173</v>
      </c>
    </row>
    <row r="451" spans="1:7" x14ac:dyDescent="0.25">
      <c r="A451" s="1">
        <v>49574</v>
      </c>
      <c r="B451" s="1" t="s">
        <v>178</v>
      </c>
      <c r="C451" s="1" t="s">
        <v>479</v>
      </c>
      <c r="D451" s="1" t="s">
        <v>297</v>
      </c>
      <c r="E451" s="1" t="s">
        <v>308</v>
      </c>
      <c r="F451" s="1" t="s">
        <v>310</v>
      </c>
      <c r="G451" s="1" t="s">
        <v>173</v>
      </c>
    </row>
    <row r="452" spans="1:7" x14ac:dyDescent="0.25">
      <c r="A452" s="1">
        <v>48343</v>
      </c>
      <c r="B452" s="1" t="s">
        <v>178</v>
      </c>
      <c r="C452" s="1" t="s">
        <v>479</v>
      </c>
      <c r="D452" s="1" t="s">
        <v>297</v>
      </c>
      <c r="E452" s="1" t="s">
        <v>311</v>
      </c>
      <c r="F452" s="1" t="s">
        <v>511</v>
      </c>
      <c r="G452" s="1" t="s">
        <v>173</v>
      </c>
    </row>
    <row r="453" spans="1:7" x14ac:dyDescent="0.25">
      <c r="A453" s="1">
        <v>48345</v>
      </c>
      <c r="B453" s="1" t="s">
        <v>178</v>
      </c>
      <c r="C453" s="1" t="s">
        <v>479</v>
      </c>
      <c r="D453" s="1" t="s">
        <v>297</v>
      </c>
      <c r="E453" s="1" t="s">
        <v>311</v>
      </c>
      <c r="F453" s="1" t="s">
        <v>512</v>
      </c>
      <c r="G453" s="1" t="s">
        <v>173</v>
      </c>
    </row>
    <row r="454" spans="1:7" x14ac:dyDescent="0.25">
      <c r="A454" s="1">
        <v>48347</v>
      </c>
      <c r="B454" s="1" t="s">
        <v>178</v>
      </c>
      <c r="C454" s="1" t="s">
        <v>479</v>
      </c>
      <c r="D454" s="1" t="s">
        <v>297</v>
      </c>
      <c r="E454" s="1" t="s">
        <v>311</v>
      </c>
      <c r="F454" s="1" t="s">
        <v>513</v>
      </c>
      <c r="G454" s="1" t="s">
        <v>173</v>
      </c>
    </row>
    <row r="455" spans="1:7" x14ac:dyDescent="0.25">
      <c r="A455" s="1">
        <v>48356</v>
      </c>
      <c r="B455" s="1" t="s">
        <v>178</v>
      </c>
      <c r="C455" s="1" t="s">
        <v>479</v>
      </c>
      <c r="D455" s="1" t="s">
        <v>297</v>
      </c>
      <c r="E455" s="1" t="s">
        <v>315</v>
      </c>
      <c r="F455" s="1" t="s">
        <v>316</v>
      </c>
      <c r="G455" s="1" t="s">
        <v>173</v>
      </c>
    </row>
    <row r="456" spans="1:7" x14ac:dyDescent="0.25">
      <c r="A456" s="1">
        <v>48357</v>
      </c>
      <c r="B456" s="1" t="s">
        <v>178</v>
      </c>
      <c r="C456" s="1" t="s">
        <v>479</v>
      </c>
      <c r="D456" s="1" t="s">
        <v>297</v>
      </c>
      <c r="E456" s="1" t="s">
        <v>315</v>
      </c>
      <c r="F456" s="1" t="s">
        <v>317</v>
      </c>
      <c r="G456" s="1" t="s">
        <v>173</v>
      </c>
    </row>
    <row r="457" spans="1:7" x14ac:dyDescent="0.25">
      <c r="A457" s="1">
        <v>48358</v>
      </c>
      <c r="B457" s="1" t="s">
        <v>178</v>
      </c>
      <c r="C457" s="1" t="s">
        <v>479</v>
      </c>
      <c r="D457" s="1" t="s">
        <v>297</v>
      </c>
      <c r="E457" s="1" t="s">
        <v>315</v>
      </c>
      <c r="F457" s="1" t="s">
        <v>318</v>
      </c>
      <c r="G457" s="1" t="s">
        <v>173</v>
      </c>
    </row>
    <row r="458" spans="1:7" x14ac:dyDescent="0.25">
      <c r="A458" s="1">
        <v>48359</v>
      </c>
      <c r="B458" s="1" t="s">
        <v>178</v>
      </c>
      <c r="C458" s="1" t="s">
        <v>479</v>
      </c>
      <c r="D458" s="1" t="s">
        <v>297</v>
      </c>
      <c r="E458" s="1" t="s">
        <v>315</v>
      </c>
      <c r="F458" s="1" t="s">
        <v>319</v>
      </c>
      <c r="G458" s="1" t="s">
        <v>173</v>
      </c>
    </row>
    <row r="459" spans="1:7" x14ac:dyDescent="0.25">
      <c r="A459" s="1">
        <v>48360</v>
      </c>
      <c r="B459" s="1" t="s">
        <v>178</v>
      </c>
      <c r="C459" s="1" t="s">
        <v>479</v>
      </c>
      <c r="D459" s="1" t="s">
        <v>297</v>
      </c>
      <c r="E459" s="1" t="s">
        <v>315</v>
      </c>
      <c r="F459" s="1" t="s">
        <v>320</v>
      </c>
      <c r="G459" s="1" t="s">
        <v>173</v>
      </c>
    </row>
    <row r="460" spans="1:7" x14ac:dyDescent="0.25">
      <c r="A460" s="1">
        <v>48364</v>
      </c>
      <c r="B460" s="1" t="s">
        <v>178</v>
      </c>
      <c r="C460" s="1" t="s">
        <v>479</v>
      </c>
      <c r="D460" s="1" t="s">
        <v>325</v>
      </c>
      <c r="E460" s="1" t="s">
        <v>326</v>
      </c>
      <c r="F460" s="1" t="s">
        <v>327</v>
      </c>
      <c r="G460" s="1" t="s">
        <v>173</v>
      </c>
    </row>
    <row r="461" spans="1:7" x14ac:dyDescent="0.25">
      <c r="A461" s="1">
        <v>48366</v>
      </c>
      <c r="B461" s="1" t="s">
        <v>178</v>
      </c>
      <c r="C461" s="1" t="s">
        <v>479</v>
      </c>
      <c r="D461" s="1" t="s">
        <v>325</v>
      </c>
      <c r="E461" s="1" t="s">
        <v>326</v>
      </c>
      <c r="F461" s="1" t="s">
        <v>328</v>
      </c>
      <c r="G461" s="1" t="s">
        <v>173</v>
      </c>
    </row>
    <row r="462" spans="1:7" x14ac:dyDescent="0.25">
      <c r="A462" s="1">
        <v>48368</v>
      </c>
      <c r="B462" s="1" t="s">
        <v>178</v>
      </c>
      <c r="C462" s="1" t="s">
        <v>479</v>
      </c>
      <c r="D462" s="1" t="s">
        <v>325</v>
      </c>
      <c r="E462" s="1" t="s">
        <v>326</v>
      </c>
      <c r="F462" s="1" t="s">
        <v>329</v>
      </c>
      <c r="G462" s="1" t="s">
        <v>173</v>
      </c>
    </row>
    <row r="463" spans="1:7" x14ac:dyDescent="0.25">
      <c r="A463" s="1">
        <v>48363</v>
      </c>
      <c r="B463" s="1" t="s">
        <v>178</v>
      </c>
      <c r="C463" s="1" t="s">
        <v>479</v>
      </c>
      <c r="D463" s="1" t="s">
        <v>325</v>
      </c>
      <c r="E463" s="1" t="s">
        <v>330</v>
      </c>
      <c r="F463" s="1" t="s">
        <v>514</v>
      </c>
      <c r="G463" s="1" t="s">
        <v>173</v>
      </c>
    </row>
    <row r="464" spans="1:7" x14ac:dyDescent="0.25">
      <c r="A464" s="1">
        <v>48365</v>
      </c>
      <c r="B464" s="1" t="s">
        <v>178</v>
      </c>
      <c r="C464" s="1" t="s">
        <v>479</v>
      </c>
      <c r="D464" s="1" t="s">
        <v>325</v>
      </c>
      <c r="E464" s="1" t="s">
        <v>330</v>
      </c>
      <c r="F464" s="1" t="s">
        <v>515</v>
      </c>
      <c r="G464" s="1" t="s">
        <v>173</v>
      </c>
    </row>
    <row r="465" spans="1:7" x14ac:dyDescent="0.25">
      <c r="A465" s="1">
        <v>48367</v>
      </c>
      <c r="B465" s="1" t="s">
        <v>178</v>
      </c>
      <c r="C465" s="1" t="s">
        <v>479</v>
      </c>
      <c r="D465" s="1" t="s">
        <v>325</v>
      </c>
      <c r="E465" s="1" t="s">
        <v>330</v>
      </c>
      <c r="F465" s="1" t="s">
        <v>516</v>
      </c>
      <c r="G465" s="1" t="s">
        <v>173</v>
      </c>
    </row>
    <row r="466" spans="1:7" x14ac:dyDescent="0.25">
      <c r="A466" s="1">
        <v>48375</v>
      </c>
      <c r="B466" s="1" t="s">
        <v>178</v>
      </c>
      <c r="C466" s="1" t="s">
        <v>479</v>
      </c>
      <c r="D466" s="1" t="s">
        <v>334</v>
      </c>
      <c r="E466" s="1" t="s">
        <v>335</v>
      </c>
      <c r="F466" s="1" t="s">
        <v>336</v>
      </c>
      <c r="G466" s="1" t="s">
        <v>173</v>
      </c>
    </row>
    <row r="467" spans="1:7" x14ac:dyDescent="0.25">
      <c r="A467" s="1">
        <v>48377</v>
      </c>
      <c r="B467" s="1" t="s">
        <v>178</v>
      </c>
      <c r="C467" s="1" t="s">
        <v>479</v>
      </c>
      <c r="D467" s="1" t="s">
        <v>334</v>
      </c>
      <c r="E467" s="1" t="s">
        <v>335</v>
      </c>
      <c r="F467" s="1" t="s">
        <v>337</v>
      </c>
      <c r="G467" s="1" t="s">
        <v>173</v>
      </c>
    </row>
    <row r="468" spans="1:7" x14ac:dyDescent="0.25">
      <c r="A468" s="1">
        <v>48376</v>
      </c>
      <c r="B468" s="1" t="s">
        <v>178</v>
      </c>
      <c r="C468" s="1" t="s">
        <v>479</v>
      </c>
      <c r="D468" s="1" t="s">
        <v>334</v>
      </c>
      <c r="E468" s="1" t="s">
        <v>338</v>
      </c>
      <c r="F468" s="1" t="s">
        <v>339</v>
      </c>
      <c r="G468" s="1" t="s">
        <v>173</v>
      </c>
    </row>
    <row r="469" spans="1:7" x14ac:dyDescent="0.25">
      <c r="A469" s="1">
        <v>48380</v>
      </c>
      <c r="B469" s="1" t="s">
        <v>178</v>
      </c>
      <c r="C469" s="1" t="s">
        <v>479</v>
      </c>
      <c r="D469" s="1" t="s">
        <v>334</v>
      </c>
      <c r="E469" s="1" t="s">
        <v>338</v>
      </c>
      <c r="F469" s="1" t="s">
        <v>340</v>
      </c>
      <c r="G469" s="1" t="s">
        <v>173</v>
      </c>
    </row>
    <row r="470" spans="1:7" x14ac:dyDescent="0.25">
      <c r="A470" s="1">
        <v>48378</v>
      </c>
      <c r="B470" s="1" t="s">
        <v>178</v>
      </c>
      <c r="C470" s="1" t="s">
        <v>479</v>
      </c>
      <c r="D470" s="1" t="s">
        <v>334</v>
      </c>
      <c r="E470" s="1" t="s">
        <v>338</v>
      </c>
      <c r="F470" s="1" t="s">
        <v>341</v>
      </c>
      <c r="G470" s="1" t="s">
        <v>173</v>
      </c>
    </row>
    <row r="471" spans="1:7" x14ac:dyDescent="0.25">
      <c r="A471" s="1">
        <v>48379</v>
      </c>
      <c r="B471" s="1" t="s">
        <v>178</v>
      </c>
      <c r="C471" s="1" t="s">
        <v>479</v>
      </c>
      <c r="D471" s="1" t="s">
        <v>334</v>
      </c>
      <c r="E471" s="1" t="s">
        <v>338</v>
      </c>
      <c r="F471" s="1" t="s">
        <v>342</v>
      </c>
      <c r="G471" s="1" t="s">
        <v>173</v>
      </c>
    </row>
    <row r="472" spans="1:7" x14ac:dyDescent="0.25">
      <c r="A472" s="1">
        <v>48382</v>
      </c>
      <c r="B472" s="1" t="s">
        <v>178</v>
      </c>
      <c r="C472" s="1" t="s">
        <v>479</v>
      </c>
      <c r="D472" s="1" t="s">
        <v>343</v>
      </c>
      <c r="E472" s="1" t="s">
        <v>344</v>
      </c>
      <c r="F472" s="1" t="s">
        <v>345</v>
      </c>
      <c r="G472" s="1" t="s">
        <v>173</v>
      </c>
    </row>
    <row r="473" spans="1:7" x14ac:dyDescent="0.25">
      <c r="A473" s="1">
        <v>48384</v>
      </c>
      <c r="B473" s="1" t="s">
        <v>178</v>
      </c>
      <c r="C473" s="1" t="s">
        <v>479</v>
      </c>
      <c r="D473" s="1" t="s">
        <v>343</v>
      </c>
      <c r="E473" s="1" t="s">
        <v>346</v>
      </c>
      <c r="F473" s="1" t="s">
        <v>347</v>
      </c>
      <c r="G473" s="1" t="s">
        <v>173</v>
      </c>
    </row>
    <row r="474" spans="1:7" x14ac:dyDescent="0.25">
      <c r="A474" s="1">
        <v>48386</v>
      </c>
      <c r="B474" s="1" t="s">
        <v>178</v>
      </c>
      <c r="C474" s="1" t="s">
        <v>479</v>
      </c>
      <c r="D474" s="1" t="s">
        <v>517</v>
      </c>
      <c r="E474" s="1" t="s">
        <v>349</v>
      </c>
      <c r="F474" s="1" t="s">
        <v>518</v>
      </c>
      <c r="G474" s="1" t="s">
        <v>173</v>
      </c>
    </row>
    <row r="475" spans="1:7" x14ac:dyDescent="0.25">
      <c r="A475" s="1">
        <v>48391</v>
      </c>
      <c r="B475" s="1" t="s">
        <v>178</v>
      </c>
      <c r="C475" s="1" t="s">
        <v>479</v>
      </c>
      <c r="D475" s="1" t="s">
        <v>351</v>
      </c>
      <c r="E475" s="1" t="s">
        <v>352</v>
      </c>
      <c r="F475" s="1" t="s">
        <v>353</v>
      </c>
      <c r="G475" s="1" t="s">
        <v>173</v>
      </c>
    </row>
    <row r="476" spans="1:7" x14ac:dyDescent="0.25">
      <c r="A476" s="1">
        <v>48392</v>
      </c>
      <c r="B476" s="1" t="s">
        <v>178</v>
      </c>
      <c r="C476" s="1" t="s">
        <v>479</v>
      </c>
      <c r="D476" s="1" t="s">
        <v>351</v>
      </c>
      <c r="E476" s="1" t="s">
        <v>352</v>
      </c>
      <c r="F476" s="1" t="s">
        <v>354</v>
      </c>
      <c r="G476" s="1" t="s">
        <v>173</v>
      </c>
    </row>
    <row r="477" spans="1:7" x14ac:dyDescent="0.25">
      <c r="A477" s="1">
        <v>48394</v>
      </c>
      <c r="B477" s="1" t="s">
        <v>178</v>
      </c>
      <c r="C477" s="1" t="s">
        <v>479</v>
      </c>
      <c r="D477" s="1" t="s">
        <v>351</v>
      </c>
      <c r="E477" s="1" t="s">
        <v>355</v>
      </c>
      <c r="F477" s="1" t="s">
        <v>356</v>
      </c>
      <c r="G477" s="1" t="s">
        <v>173</v>
      </c>
    </row>
    <row r="478" spans="1:7" x14ac:dyDescent="0.25">
      <c r="A478" s="1">
        <v>48395</v>
      </c>
      <c r="B478" s="1" t="s">
        <v>178</v>
      </c>
      <c r="C478" s="1" t="s">
        <v>479</v>
      </c>
      <c r="D478" s="1" t="s">
        <v>351</v>
      </c>
      <c r="E478" s="1" t="s">
        <v>355</v>
      </c>
      <c r="F478" s="1" t="s">
        <v>357</v>
      </c>
      <c r="G478" s="1" t="s">
        <v>173</v>
      </c>
    </row>
    <row r="479" spans="1:7" x14ac:dyDescent="0.25">
      <c r="A479" s="1">
        <v>48397</v>
      </c>
      <c r="B479" s="1" t="s">
        <v>178</v>
      </c>
      <c r="C479" s="1" t="s">
        <v>479</v>
      </c>
      <c r="D479" s="1" t="s">
        <v>351</v>
      </c>
      <c r="E479" s="1" t="s">
        <v>358</v>
      </c>
      <c r="F479" s="1" t="s">
        <v>519</v>
      </c>
      <c r="G479" s="1" t="s">
        <v>173</v>
      </c>
    </row>
    <row r="480" spans="1:7" x14ac:dyDescent="0.25">
      <c r="A480" s="1">
        <v>48403</v>
      </c>
      <c r="B480" s="1" t="s">
        <v>178</v>
      </c>
      <c r="C480" s="1" t="s">
        <v>479</v>
      </c>
      <c r="D480" s="1" t="s">
        <v>351</v>
      </c>
      <c r="E480" s="1" t="s">
        <v>360</v>
      </c>
      <c r="F480" s="1" t="s">
        <v>361</v>
      </c>
      <c r="G480" s="1" t="s">
        <v>173</v>
      </c>
    </row>
    <row r="481" spans="1:7" x14ac:dyDescent="0.25">
      <c r="A481" s="1">
        <v>48402</v>
      </c>
      <c r="B481" s="1" t="s">
        <v>178</v>
      </c>
      <c r="C481" s="1" t="s">
        <v>479</v>
      </c>
      <c r="D481" s="1" t="s">
        <v>351</v>
      </c>
      <c r="E481" s="1" t="s">
        <v>360</v>
      </c>
      <c r="F481" s="1" t="s">
        <v>362</v>
      </c>
      <c r="G481" s="1" t="s">
        <v>173</v>
      </c>
    </row>
    <row r="482" spans="1:7" x14ac:dyDescent="0.25">
      <c r="A482" s="1">
        <v>48405</v>
      </c>
      <c r="B482" s="1" t="s">
        <v>178</v>
      </c>
      <c r="C482" s="1" t="s">
        <v>479</v>
      </c>
      <c r="D482" s="1" t="s">
        <v>363</v>
      </c>
      <c r="E482" s="1" t="s">
        <v>364</v>
      </c>
      <c r="F482" s="1" t="s">
        <v>520</v>
      </c>
      <c r="G482" s="1" t="s">
        <v>173</v>
      </c>
    </row>
    <row r="483" spans="1:7" x14ac:dyDescent="0.25">
      <c r="A483" s="1">
        <v>48406</v>
      </c>
      <c r="B483" s="1" t="s">
        <v>178</v>
      </c>
      <c r="C483" s="1" t="s">
        <v>479</v>
      </c>
      <c r="D483" s="1" t="s">
        <v>363</v>
      </c>
      <c r="E483" s="1" t="s">
        <v>364</v>
      </c>
      <c r="F483" s="1" t="s">
        <v>521</v>
      </c>
      <c r="G483" s="1" t="s">
        <v>173</v>
      </c>
    </row>
    <row r="484" spans="1:7" x14ac:dyDescent="0.25">
      <c r="A484" s="1">
        <v>48409</v>
      </c>
      <c r="B484" s="1" t="s">
        <v>178</v>
      </c>
      <c r="C484" s="1" t="s">
        <v>479</v>
      </c>
      <c r="D484" s="1" t="s">
        <v>367</v>
      </c>
      <c r="E484" s="1" t="s">
        <v>368</v>
      </c>
      <c r="F484" s="1" t="s">
        <v>369</v>
      </c>
      <c r="G484" s="1" t="s">
        <v>173</v>
      </c>
    </row>
    <row r="485" spans="1:7" x14ac:dyDescent="0.25">
      <c r="A485" s="1">
        <v>48411</v>
      </c>
      <c r="B485" s="1" t="s">
        <v>178</v>
      </c>
      <c r="C485" s="1" t="s">
        <v>479</v>
      </c>
      <c r="D485" s="1" t="s">
        <v>367</v>
      </c>
      <c r="E485" s="1" t="s">
        <v>368</v>
      </c>
      <c r="F485" s="1" t="s">
        <v>370</v>
      </c>
      <c r="G485" s="1" t="s">
        <v>173</v>
      </c>
    </row>
    <row r="486" spans="1:7" x14ac:dyDescent="0.25">
      <c r="A486" s="1">
        <v>48410</v>
      </c>
      <c r="B486" s="1" t="s">
        <v>178</v>
      </c>
      <c r="C486" s="1" t="s">
        <v>479</v>
      </c>
      <c r="D486" s="1" t="s">
        <v>367</v>
      </c>
      <c r="E486" s="1" t="s">
        <v>371</v>
      </c>
      <c r="F486" s="1" t="s">
        <v>372</v>
      </c>
      <c r="G486" s="1" t="s">
        <v>173</v>
      </c>
    </row>
    <row r="487" spans="1:7" x14ac:dyDescent="0.25">
      <c r="A487" s="1">
        <v>48412</v>
      </c>
      <c r="B487" s="1" t="s">
        <v>178</v>
      </c>
      <c r="C487" s="1" t="s">
        <v>479</v>
      </c>
      <c r="D487" s="1" t="s">
        <v>367</v>
      </c>
      <c r="E487" s="1" t="s">
        <v>371</v>
      </c>
      <c r="F487" s="1" t="s">
        <v>373</v>
      </c>
      <c r="G487" s="1" t="s">
        <v>173</v>
      </c>
    </row>
    <row r="488" spans="1:7" x14ac:dyDescent="0.25">
      <c r="A488" s="1">
        <v>48415</v>
      </c>
      <c r="B488" s="1" t="s">
        <v>178</v>
      </c>
      <c r="C488" s="1" t="s">
        <v>479</v>
      </c>
      <c r="D488" s="1" t="s">
        <v>367</v>
      </c>
      <c r="E488" s="1" t="s">
        <v>374</v>
      </c>
      <c r="F488" s="1" t="s">
        <v>375</v>
      </c>
      <c r="G488" s="1" t="s">
        <v>173</v>
      </c>
    </row>
    <row r="489" spans="1:7" x14ac:dyDescent="0.25">
      <c r="A489" s="1">
        <v>48414</v>
      </c>
      <c r="B489" s="1" t="s">
        <v>178</v>
      </c>
      <c r="C489" s="1" t="s">
        <v>479</v>
      </c>
      <c r="D489" s="1" t="s">
        <v>367</v>
      </c>
      <c r="E489" s="1" t="s">
        <v>374</v>
      </c>
      <c r="F489" s="1" t="s">
        <v>376</v>
      </c>
      <c r="G489" s="1" t="s">
        <v>173</v>
      </c>
    </row>
    <row r="490" spans="1:7" x14ac:dyDescent="0.25">
      <c r="A490" s="1">
        <v>48349</v>
      </c>
      <c r="B490" s="1" t="s">
        <v>178</v>
      </c>
      <c r="C490" s="1" t="s">
        <v>479</v>
      </c>
      <c r="D490" s="1" t="s">
        <v>367</v>
      </c>
      <c r="E490" s="1" t="s">
        <v>377</v>
      </c>
      <c r="F490" s="1" t="s">
        <v>378</v>
      </c>
      <c r="G490" s="1" t="s">
        <v>173</v>
      </c>
    </row>
    <row r="491" spans="1:7" x14ac:dyDescent="0.25">
      <c r="A491" s="1">
        <v>48351</v>
      </c>
      <c r="B491" s="1" t="s">
        <v>178</v>
      </c>
      <c r="C491" s="1" t="s">
        <v>479</v>
      </c>
      <c r="D491" s="1" t="s">
        <v>367</v>
      </c>
      <c r="E491" s="1" t="s">
        <v>377</v>
      </c>
      <c r="F491" s="1" t="s">
        <v>379</v>
      </c>
      <c r="G491" s="1" t="s">
        <v>173</v>
      </c>
    </row>
    <row r="492" spans="1:7" x14ac:dyDescent="0.25">
      <c r="A492" s="1">
        <v>48353</v>
      </c>
      <c r="B492" s="1" t="s">
        <v>178</v>
      </c>
      <c r="C492" s="1" t="s">
        <v>479</v>
      </c>
      <c r="D492" s="1" t="s">
        <v>367</v>
      </c>
      <c r="E492" s="1" t="s">
        <v>380</v>
      </c>
      <c r="F492" s="1" t="s">
        <v>381</v>
      </c>
      <c r="G492" s="1" t="s">
        <v>173</v>
      </c>
    </row>
    <row r="493" spans="1:7" x14ac:dyDescent="0.25">
      <c r="A493" s="1">
        <v>48354</v>
      </c>
      <c r="B493" s="1" t="s">
        <v>178</v>
      </c>
      <c r="C493" s="1" t="s">
        <v>479</v>
      </c>
      <c r="D493" s="1" t="s">
        <v>367</v>
      </c>
      <c r="E493" s="1" t="s">
        <v>380</v>
      </c>
      <c r="F493" s="1" t="s">
        <v>382</v>
      </c>
      <c r="G493" s="1" t="s">
        <v>173</v>
      </c>
    </row>
    <row r="494" spans="1:7" x14ac:dyDescent="0.25">
      <c r="A494" s="1">
        <v>48418</v>
      </c>
      <c r="B494" s="1" t="s">
        <v>178</v>
      </c>
      <c r="C494" s="1" t="s">
        <v>479</v>
      </c>
      <c r="D494" s="1" t="s">
        <v>383</v>
      </c>
      <c r="E494" s="1" t="s">
        <v>384</v>
      </c>
      <c r="F494" s="1" t="s">
        <v>385</v>
      </c>
      <c r="G494" s="1" t="s">
        <v>173</v>
      </c>
    </row>
    <row r="495" spans="1:7" x14ac:dyDescent="0.25">
      <c r="A495" s="1">
        <v>48420</v>
      </c>
      <c r="B495" s="1" t="s">
        <v>178</v>
      </c>
      <c r="C495" s="1" t="s">
        <v>479</v>
      </c>
      <c r="D495" s="1" t="s">
        <v>383</v>
      </c>
      <c r="E495" s="1" t="s">
        <v>384</v>
      </c>
      <c r="F495" s="1" t="s">
        <v>386</v>
      </c>
      <c r="G495" s="1" t="s">
        <v>173</v>
      </c>
    </row>
    <row r="496" spans="1:7" x14ac:dyDescent="0.25">
      <c r="A496" s="1">
        <v>48419</v>
      </c>
      <c r="B496" s="1" t="s">
        <v>178</v>
      </c>
      <c r="C496" s="1" t="s">
        <v>479</v>
      </c>
      <c r="D496" s="1" t="s">
        <v>383</v>
      </c>
      <c r="E496" s="1" t="s">
        <v>387</v>
      </c>
      <c r="F496" s="1" t="s">
        <v>388</v>
      </c>
      <c r="G496" s="1" t="s">
        <v>173</v>
      </c>
    </row>
    <row r="497" spans="1:7" x14ac:dyDescent="0.25">
      <c r="A497" s="1">
        <v>48421</v>
      </c>
      <c r="B497" s="1" t="s">
        <v>178</v>
      </c>
      <c r="C497" s="1" t="s">
        <v>479</v>
      </c>
      <c r="D497" s="1" t="s">
        <v>383</v>
      </c>
      <c r="E497" s="1" t="s">
        <v>387</v>
      </c>
      <c r="F497" s="1" t="s">
        <v>389</v>
      </c>
      <c r="G497" s="1" t="s">
        <v>173</v>
      </c>
    </row>
    <row r="498" spans="1:7" x14ac:dyDescent="0.25">
      <c r="A498" s="1">
        <v>48423</v>
      </c>
      <c r="B498" s="1" t="s">
        <v>178</v>
      </c>
      <c r="C498" s="1" t="s">
        <v>479</v>
      </c>
      <c r="D498" s="1" t="s">
        <v>383</v>
      </c>
      <c r="E498" s="1" t="s">
        <v>387</v>
      </c>
      <c r="F498" s="1" t="s">
        <v>390</v>
      </c>
      <c r="G498" s="1" t="s">
        <v>173</v>
      </c>
    </row>
    <row r="499" spans="1:7" x14ac:dyDescent="0.25">
      <c r="A499" s="1">
        <v>48424</v>
      </c>
      <c r="B499" s="1" t="s">
        <v>178</v>
      </c>
      <c r="C499" s="1" t="s">
        <v>479</v>
      </c>
      <c r="D499" s="1" t="s">
        <v>383</v>
      </c>
      <c r="E499" s="1" t="s">
        <v>387</v>
      </c>
      <c r="F499" s="1" t="s">
        <v>391</v>
      </c>
      <c r="G499" s="1" t="s">
        <v>173</v>
      </c>
    </row>
    <row r="500" spans="1:7" x14ac:dyDescent="0.25">
      <c r="A500" s="1">
        <v>48426</v>
      </c>
      <c r="B500" s="1" t="s">
        <v>178</v>
      </c>
      <c r="C500" s="1" t="s">
        <v>479</v>
      </c>
      <c r="D500" s="1" t="s">
        <v>383</v>
      </c>
      <c r="E500" s="1" t="s">
        <v>387</v>
      </c>
      <c r="F500" s="1" t="s">
        <v>392</v>
      </c>
      <c r="G500" s="1" t="s">
        <v>173</v>
      </c>
    </row>
    <row r="501" spans="1:7" x14ac:dyDescent="0.25">
      <c r="A501" s="1">
        <v>48428</v>
      </c>
      <c r="B501" s="1" t="s">
        <v>178</v>
      </c>
      <c r="C501" s="1" t="s">
        <v>479</v>
      </c>
      <c r="D501" s="1" t="s">
        <v>383</v>
      </c>
      <c r="E501" s="1" t="s">
        <v>387</v>
      </c>
      <c r="F501" s="1" t="s">
        <v>393</v>
      </c>
      <c r="G501" s="1" t="s">
        <v>173</v>
      </c>
    </row>
    <row r="502" spans="1:7" x14ac:dyDescent="0.25">
      <c r="A502" s="1">
        <v>48430</v>
      </c>
      <c r="B502" s="1" t="s">
        <v>178</v>
      </c>
      <c r="C502" s="1" t="s">
        <v>479</v>
      </c>
      <c r="D502" s="1" t="s">
        <v>383</v>
      </c>
      <c r="E502" s="1" t="s">
        <v>387</v>
      </c>
      <c r="F502" s="1" t="s">
        <v>394</v>
      </c>
      <c r="G502" s="1" t="s">
        <v>173</v>
      </c>
    </row>
    <row r="503" spans="1:7" x14ac:dyDescent="0.25">
      <c r="A503" s="1">
        <v>48432</v>
      </c>
      <c r="B503" s="1" t="s">
        <v>178</v>
      </c>
      <c r="C503" s="1" t="s">
        <v>479</v>
      </c>
      <c r="D503" s="1" t="s">
        <v>383</v>
      </c>
      <c r="E503" s="1" t="s">
        <v>387</v>
      </c>
      <c r="F503" s="1" t="s">
        <v>395</v>
      </c>
      <c r="G503" s="1" t="s">
        <v>173</v>
      </c>
    </row>
    <row r="504" spans="1:7" x14ac:dyDescent="0.25">
      <c r="A504" s="1">
        <v>48434</v>
      </c>
      <c r="B504" s="1" t="s">
        <v>178</v>
      </c>
      <c r="C504" s="1" t="s">
        <v>479</v>
      </c>
      <c r="D504" s="1" t="s">
        <v>383</v>
      </c>
      <c r="E504" s="1" t="s">
        <v>387</v>
      </c>
      <c r="F504" s="1" t="s">
        <v>396</v>
      </c>
      <c r="G504" s="1" t="s">
        <v>173</v>
      </c>
    </row>
    <row r="505" spans="1:7" x14ac:dyDescent="0.25">
      <c r="A505" s="1">
        <v>48433</v>
      </c>
      <c r="B505" s="1" t="s">
        <v>178</v>
      </c>
      <c r="C505" s="1" t="s">
        <v>479</v>
      </c>
      <c r="D505" s="1" t="s">
        <v>383</v>
      </c>
      <c r="E505" s="1" t="s">
        <v>387</v>
      </c>
      <c r="F505" s="1" t="s">
        <v>397</v>
      </c>
      <c r="G505" s="1" t="s">
        <v>173</v>
      </c>
    </row>
    <row r="506" spans="1:7" x14ac:dyDescent="0.25">
      <c r="A506" s="1">
        <v>48431</v>
      </c>
      <c r="B506" s="1" t="s">
        <v>178</v>
      </c>
      <c r="C506" s="1" t="s">
        <v>479</v>
      </c>
      <c r="D506" s="1" t="s">
        <v>383</v>
      </c>
      <c r="E506" s="1" t="s">
        <v>387</v>
      </c>
      <c r="F506" s="1" t="s">
        <v>398</v>
      </c>
      <c r="G506" s="1" t="s">
        <v>173</v>
      </c>
    </row>
    <row r="507" spans="1:7" x14ac:dyDescent="0.25">
      <c r="A507" s="1">
        <v>48429</v>
      </c>
      <c r="B507" s="1" t="s">
        <v>178</v>
      </c>
      <c r="C507" s="1" t="s">
        <v>479</v>
      </c>
      <c r="D507" s="1" t="s">
        <v>383</v>
      </c>
      <c r="E507" s="1" t="s">
        <v>387</v>
      </c>
      <c r="F507" s="1" t="s">
        <v>399</v>
      </c>
      <c r="G507" s="1" t="s">
        <v>173</v>
      </c>
    </row>
    <row r="508" spans="1:7" x14ac:dyDescent="0.25">
      <c r="A508" s="1">
        <v>48425</v>
      </c>
      <c r="B508" s="1" t="s">
        <v>178</v>
      </c>
      <c r="C508" s="1" t="s">
        <v>479</v>
      </c>
      <c r="D508" s="1" t="s">
        <v>383</v>
      </c>
      <c r="E508" s="1" t="s">
        <v>400</v>
      </c>
      <c r="F508" s="1" t="s">
        <v>401</v>
      </c>
      <c r="G508" s="1" t="s">
        <v>173</v>
      </c>
    </row>
    <row r="509" spans="1:7" x14ac:dyDescent="0.25">
      <c r="A509" s="1">
        <v>48427</v>
      </c>
      <c r="B509" s="1" t="s">
        <v>178</v>
      </c>
      <c r="C509" s="1" t="s">
        <v>479</v>
      </c>
      <c r="D509" s="1" t="s">
        <v>383</v>
      </c>
      <c r="E509" s="1" t="s">
        <v>400</v>
      </c>
      <c r="F509" s="1" t="s">
        <v>402</v>
      </c>
      <c r="G509" s="1" t="s">
        <v>173</v>
      </c>
    </row>
    <row r="510" spans="1:7" x14ac:dyDescent="0.25">
      <c r="A510" s="1">
        <v>48436</v>
      </c>
      <c r="B510" s="1" t="s">
        <v>178</v>
      </c>
      <c r="C510" s="1" t="s">
        <v>479</v>
      </c>
      <c r="D510" s="1" t="s">
        <v>403</v>
      </c>
      <c r="E510" s="1" t="s">
        <v>404</v>
      </c>
      <c r="F510" s="1" t="s">
        <v>522</v>
      </c>
      <c r="G510" s="1" t="s">
        <v>173</v>
      </c>
    </row>
    <row r="511" spans="1:7" x14ac:dyDescent="0.25">
      <c r="A511" s="1">
        <v>48439</v>
      </c>
      <c r="B511" s="1" t="s">
        <v>178</v>
      </c>
      <c r="C511" s="1" t="s">
        <v>479</v>
      </c>
      <c r="D511" s="1" t="s">
        <v>406</v>
      </c>
      <c r="E511" s="1" t="s">
        <v>407</v>
      </c>
      <c r="F511" s="1" t="s">
        <v>523</v>
      </c>
      <c r="G511" s="1" t="s">
        <v>173</v>
      </c>
    </row>
    <row r="512" spans="1:7" x14ac:dyDescent="0.25">
      <c r="A512" s="1">
        <v>48441</v>
      </c>
      <c r="B512" s="1" t="s">
        <v>178</v>
      </c>
      <c r="C512" s="1" t="s">
        <v>479</v>
      </c>
      <c r="D512" s="1" t="s">
        <v>406</v>
      </c>
      <c r="E512" s="1" t="s">
        <v>407</v>
      </c>
      <c r="F512" s="1" t="s">
        <v>524</v>
      </c>
      <c r="G512" s="1" t="s">
        <v>173</v>
      </c>
    </row>
    <row r="513" spans="1:7" x14ac:dyDescent="0.25">
      <c r="A513" s="1">
        <v>48440</v>
      </c>
      <c r="B513" s="1" t="s">
        <v>178</v>
      </c>
      <c r="C513" s="1" t="s">
        <v>479</v>
      </c>
      <c r="D513" s="1" t="s">
        <v>406</v>
      </c>
      <c r="E513" s="1" t="s">
        <v>410</v>
      </c>
      <c r="F513" s="1" t="s">
        <v>525</v>
      </c>
      <c r="G513" s="1" t="s">
        <v>173</v>
      </c>
    </row>
    <row r="514" spans="1:7" x14ac:dyDescent="0.25">
      <c r="A514" s="1">
        <v>58387</v>
      </c>
      <c r="B514" s="1" t="s">
        <v>178</v>
      </c>
      <c r="C514" s="1" t="s">
        <v>479</v>
      </c>
      <c r="D514" s="1" t="s">
        <v>412</v>
      </c>
      <c r="E514" s="1" t="s">
        <v>413</v>
      </c>
      <c r="F514" s="1" t="s">
        <v>414</v>
      </c>
      <c r="G514" s="1" t="s">
        <v>173</v>
      </c>
    </row>
    <row r="515" spans="1:7" x14ac:dyDescent="0.25">
      <c r="A515" s="1">
        <v>58385</v>
      </c>
      <c r="B515" s="1" t="s">
        <v>178</v>
      </c>
      <c r="C515" s="1" t="s">
        <v>479</v>
      </c>
      <c r="D515" s="1" t="s">
        <v>412</v>
      </c>
      <c r="E515" s="1" t="s">
        <v>526</v>
      </c>
      <c r="F515" s="1" t="s">
        <v>527</v>
      </c>
      <c r="G515" s="1" t="s">
        <v>173</v>
      </c>
    </row>
    <row r="516" spans="1:7" x14ac:dyDescent="0.25">
      <c r="A516" s="1">
        <v>48444</v>
      </c>
      <c r="B516" s="1" t="s">
        <v>178</v>
      </c>
      <c r="C516" s="1" t="s">
        <v>479</v>
      </c>
      <c r="D516" s="1" t="s">
        <v>412</v>
      </c>
      <c r="E516" s="1" t="s">
        <v>418</v>
      </c>
      <c r="F516" s="1" t="s">
        <v>419</v>
      </c>
      <c r="G516" s="1" t="s">
        <v>173</v>
      </c>
    </row>
    <row r="517" spans="1:7" x14ac:dyDescent="0.25">
      <c r="A517" s="1">
        <v>48445</v>
      </c>
      <c r="B517" s="1" t="s">
        <v>178</v>
      </c>
      <c r="C517" s="1" t="s">
        <v>479</v>
      </c>
      <c r="D517" s="1" t="s">
        <v>412</v>
      </c>
      <c r="E517" s="1" t="s">
        <v>418</v>
      </c>
      <c r="F517" s="1" t="s">
        <v>420</v>
      </c>
      <c r="G517" s="1" t="s">
        <v>173</v>
      </c>
    </row>
    <row r="518" spans="1:7" x14ac:dyDescent="0.25">
      <c r="A518" s="1">
        <v>48446</v>
      </c>
      <c r="B518" s="1" t="s">
        <v>178</v>
      </c>
      <c r="C518" s="1" t="s">
        <v>479</v>
      </c>
      <c r="D518" s="1" t="s">
        <v>412</v>
      </c>
      <c r="E518" s="1" t="s">
        <v>418</v>
      </c>
      <c r="F518" s="1" t="s">
        <v>528</v>
      </c>
      <c r="G518" s="1" t="s">
        <v>173</v>
      </c>
    </row>
    <row r="519" spans="1:7" x14ac:dyDescent="0.25">
      <c r="A519" s="1">
        <v>48455</v>
      </c>
      <c r="B519" s="1" t="s">
        <v>178</v>
      </c>
      <c r="C519" s="1" t="s">
        <v>479</v>
      </c>
      <c r="D519" s="1" t="s">
        <v>412</v>
      </c>
      <c r="E519" s="1" t="s">
        <v>422</v>
      </c>
      <c r="F519" s="1" t="s">
        <v>423</v>
      </c>
      <c r="G519" s="1" t="s">
        <v>173</v>
      </c>
    </row>
    <row r="520" spans="1:7" x14ac:dyDescent="0.25">
      <c r="A520" s="1">
        <v>48456</v>
      </c>
      <c r="B520" s="1" t="s">
        <v>178</v>
      </c>
      <c r="C520" s="1" t="s">
        <v>479</v>
      </c>
      <c r="D520" s="1" t="s">
        <v>412</v>
      </c>
      <c r="E520" s="1" t="s">
        <v>422</v>
      </c>
      <c r="F520" s="1" t="s">
        <v>424</v>
      </c>
      <c r="G520" s="1" t="s">
        <v>173</v>
      </c>
    </row>
    <row r="521" spans="1:7" x14ac:dyDescent="0.25">
      <c r="A521" s="1">
        <v>48457</v>
      </c>
      <c r="B521" s="1" t="s">
        <v>178</v>
      </c>
      <c r="C521" s="1" t="s">
        <v>479</v>
      </c>
      <c r="D521" s="1" t="s">
        <v>412</v>
      </c>
      <c r="E521" s="1" t="s">
        <v>422</v>
      </c>
      <c r="F521" s="1" t="s">
        <v>425</v>
      </c>
      <c r="G521" s="1" t="s">
        <v>173</v>
      </c>
    </row>
    <row r="522" spans="1:7" x14ac:dyDescent="0.25">
      <c r="A522" s="1">
        <v>48449</v>
      </c>
      <c r="B522" s="1" t="s">
        <v>178</v>
      </c>
      <c r="C522" s="1" t="s">
        <v>479</v>
      </c>
      <c r="D522" s="1" t="s">
        <v>412</v>
      </c>
      <c r="E522" s="1" t="s">
        <v>426</v>
      </c>
      <c r="F522" s="1" t="s">
        <v>529</v>
      </c>
      <c r="G522" s="1" t="s">
        <v>173</v>
      </c>
    </row>
    <row r="523" spans="1:7" x14ac:dyDescent="0.25">
      <c r="A523" s="1">
        <v>48451</v>
      </c>
      <c r="B523" s="1" t="s">
        <v>178</v>
      </c>
      <c r="C523" s="1" t="s">
        <v>479</v>
      </c>
      <c r="D523" s="1" t="s">
        <v>412</v>
      </c>
      <c r="E523" s="1" t="s">
        <v>426</v>
      </c>
      <c r="F523" s="1" t="s">
        <v>530</v>
      </c>
      <c r="G523" s="1" t="s">
        <v>173</v>
      </c>
    </row>
    <row r="524" spans="1:7" x14ac:dyDescent="0.25">
      <c r="A524" s="1">
        <v>59178</v>
      </c>
      <c r="B524" s="1" t="s">
        <v>178</v>
      </c>
      <c r="C524" s="1" t="s">
        <v>479</v>
      </c>
      <c r="D524" s="1" t="s">
        <v>412</v>
      </c>
      <c r="E524" s="1" t="s">
        <v>429</v>
      </c>
      <c r="F524" s="1" t="s">
        <v>430</v>
      </c>
      <c r="G524" s="1" t="s">
        <v>173</v>
      </c>
    </row>
    <row r="525" spans="1:7" x14ac:dyDescent="0.25">
      <c r="A525" s="1">
        <v>59179</v>
      </c>
      <c r="B525" s="1" t="s">
        <v>178</v>
      </c>
      <c r="C525" s="1" t="s">
        <v>479</v>
      </c>
      <c r="D525" s="1" t="s">
        <v>412</v>
      </c>
      <c r="E525" s="1" t="s">
        <v>429</v>
      </c>
      <c r="F525" s="1" t="s">
        <v>431</v>
      </c>
      <c r="G525" s="1" t="s">
        <v>173</v>
      </c>
    </row>
    <row r="526" spans="1:7" x14ac:dyDescent="0.25">
      <c r="A526" s="1">
        <v>59190</v>
      </c>
      <c r="B526" s="1" t="s">
        <v>178</v>
      </c>
      <c r="C526" s="1" t="s">
        <v>479</v>
      </c>
      <c r="D526" s="1" t="s">
        <v>412</v>
      </c>
      <c r="E526" s="1" t="s">
        <v>432</v>
      </c>
      <c r="F526" s="1" t="s">
        <v>433</v>
      </c>
      <c r="G526" s="1" t="s">
        <v>173</v>
      </c>
    </row>
    <row r="527" spans="1:7" x14ac:dyDescent="0.25">
      <c r="A527" s="1">
        <v>59191</v>
      </c>
      <c r="B527" s="1" t="s">
        <v>178</v>
      </c>
      <c r="C527" s="1" t="s">
        <v>479</v>
      </c>
      <c r="D527" s="1" t="s">
        <v>412</v>
      </c>
      <c r="E527" s="1" t="s">
        <v>432</v>
      </c>
      <c r="F527" s="1" t="s">
        <v>434</v>
      </c>
      <c r="G527" s="1" t="s">
        <v>173</v>
      </c>
    </row>
    <row r="528" spans="1:7" x14ac:dyDescent="0.25">
      <c r="A528" s="1">
        <v>48450</v>
      </c>
      <c r="B528" s="1" t="s">
        <v>178</v>
      </c>
      <c r="C528" s="1" t="s">
        <v>479</v>
      </c>
      <c r="D528" s="1" t="s">
        <v>412</v>
      </c>
      <c r="E528" s="1" t="s">
        <v>446</v>
      </c>
      <c r="F528" s="1" t="s">
        <v>531</v>
      </c>
      <c r="G528" s="1" t="s">
        <v>173</v>
      </c>
    </row>
    <row r="529" spans="1:7" x14ac:dyDescent="0.25">
      <c r="A529" s="1">
        <v>48453</v>
      </c>
      <c r="B529" s="1" t="s">
        <v>178</v>
      </c>
      <c r="C529" s="1" t="s">
        <v>479</v>
      </c>
      <c r="D529" s="1" t="s">
        <v>412</v>
      </c>
      <c r="E529" s="1" t="s">
        <v>446</v>
      </c>
      <c r="F529" s="1" t="s">
        <v>532</v>
      </c>
      <c r="G529" s="1" t="s">
        <v>173</v>
      </c>
    </row>
    <row r="530" spans="1:7" x14ac:dyDescent="0.25">
      <c r="A530" s="1">
        <v>58388</v>
      </c>
      <c r="B530" s="1" t="s">
        <v>178</v>
      </c>
      <c r="C530" s="1" t="s">
        <v>479</v>
      </c>
      <c r="D530" s="1" t="s">
        <v>412</v>
      </c>
      <c r="E530" s="1" t="s">
        <v>449</v>
      </c>
      <c r="F530" s="1" t="s">
        <v>533</v>
      </c>
      <c r="G530" s="1" t="s">
        <v>173</v>
      </c>
    </row>
    <row r="531" spans="1:7" x14ac:dyDescent="0.25">
      <c r="A531" s="1">
        <v>58386</v>
      </c>
      <c r="B531" s="1" t="s">
        <v>178</v>
      </c>
      <c r="C531" s="1" t="s">
        <v>479</v>
      </c>
      <c r="D531" s="1" t="s">
        <v>412</v>
      </c>
      <c r="E531" s="1" t="s">
        <v>451</v>
      </c>
      <c r="F531" s="1" t="s">
        <v>452</v>
      </c>
      <c r="G531" s="1" t="s">
        <v>173</v>
      </c>
    </row>
    <row r="532" spans="1:7" x14ac:dyDescent="0.25">
      <c r="A532" s="1">
        <v>58384</v>
      </c>
      <c r="B532" s="1" t="s">
        <v>178</v>
      </c>
      <c r="C532" s="1" t="s">
        <v>479</v>
      </c>
      <c r="D532" s="1" t="s">
        <v>412</v>
      </c>
      <c r="E532" s="1" t="s">
        <v>453</v>
      </c>
      <c r="F532" s="1" t="s">
        <v>454</v>
      </c>
      <c r="G532" s="1" t="s">
        <v>173</v>
      </c>
    </row>
    <row r="533" spans="1:7" x14ac:dyDescent="0.25">
      <c r="A533" s="1">
        <v>48460</v>
      </c>
      <c r="B533" s="1" t="s">
        <v>178</v>
      </c>
      <c r="C533" s="1" t="s">
        <v>479</v>
      </c>
      <c r="D533" s="1" t="s">
        <v>455</v>
      </c>
      <c r="E533" s="1" t="s">
        <v>456</v>
      </c>
      <c r="F533" s="1" t="s">
        <v>457</v>
      </c>
      <c r="G533" s="1" t="s">
        <v>173</v>
      </c>
    </row>
    <row r="534" spans="1:7" x14ac:dyDescent="0.25">
      <c r="A534" s="1">
        <v>48462</v>
      </c>
      <c r="B534" s="1" t="s">
        <v>178</v>
      </c>
      <c r="C534" s="1" t="s">
        <v>479</v>
      </c>
      <c r="D534" s="1" t="s">
        <v>455</v>
      </c>
      <c r="E534" s="1" t="s">
        <v>456</v>
      </c>
      <c r="F534" s="1" t="s">
        <v>458</v>
      </c>
      <c r="G534" s="1" t="s">
        <v>173</v>
      </c>
    </row>
    <row r="535" spans="1:7" x14ac:dyDescent="0.25">
      <c r="A535" s="1">
        <v>48461</v>
      </c>
      <c r="B535" s="1" t="s">
        <v>178</v>
      </c>
      <c r="C535" s="1" t="s">
        <v>479</v>
      </c>
      <c r="D535" s="1" t="s">
        <v>455</v>
      </c>
      <c r="E535" s="1" t="s">
        <v>459</v>
      </c>
      <c r="F535" s="1" t="s">
        <v>534</v>
      </c>
      <c r="G535" s="1" t="s">
        <v>173</v>
      </c>
    </row>
    <row r="536" spans="1:7" x14ac:dyDescent="0.25">
      <c r="A536" s="1">
        <v>48463</v>
      </c>
      <c r="B536" s="1" t="s">
        <v>178</v>
      </c>
      <c r="C536" s="1" t="s">
        <v>479</v>
      </c>
      <c r="D536" s="1" t="s">
        <v>455</v>
      </c>
      <c r="E536" s="1" t="s">
        <v>459</v>
      </c>
      <c r="F536" s="1" t="s">
        <v>535</v>
      </c>
      <c r="G536" s="1" t="s">
        <v>173</v>
      </c>
    </row>
    <row r="537" spans="1:7" x14ac:dyDescent="0.25">
      <c r="A537" s="1">
        <v>48465</v>
      </c>
      <c r="B537" s="1" t="s">
        <v>178</v>
      </c>
      <c r="C537" s="1" t="s">
        <v>479</v>
      </c>
      <c r="D537" s="1" t="s">
        <v>455</v>
      </c>
      <c r="E537" s="1" t="s">
        <v>459</v>
      </c>
      <c r="F537" s="1" t="s">
        <v>536</v>
      </c>
      <c r="G537" s="1" t="s">
        <v>173</v>
      </c>
    </row>
    <row r="538" spans="1:7" x14ac:dyDescent="0.25">
      <c r="A538" s="1">
        <v>48466</v>
      </c>
      <c r="B538" s="1" t="s">
        <v>178</v>
      </c>
      <c r="C538" s="1" t="s">
        <v>479</v>
      </c>
      <c r="D538" s="1" t="s">
        <v>455</v>
      </c>
      <c r="E538" s="1" t="s">
        <v>463</v>
      </c>
      <c r="F538" s="1" t="s">
        <v>537</v>
      </c>
      <c r="G538" s="1" t="s">
        <v>173</v>
      </c>
    </row>
    <row r="539" spans="1:7" x14ac:dyDescent="0.25">
      <c r="A539" s="1">
        <v>48468</v>
      </c>
      <c r="B539" s="1" t="s">
        <v>178</v>
      </c>
      <c r="C539" s="1" t="s">
        <v>479</v>
      </c>
      <c r="D539" s="1" t="s">
        <v>455</v>
      </c>
      <c r="E539" s="1" t="s">
        <v>463</v>
      </c>
      <c r="F539" s="1" t="s">
        <v>538</v>
      </c>
      <c r="G539" s="1" t="s">
        <v>173</v>
      </c>
    </row>
    <row r="540" spans="1:7" x14ac:dyDescent="0.25">
      <c r="A540" s="1">
        <v>48469</v>
      </c>
      <c r="B540" s="1" t="s">
        <v>178</v>
      </c>
      <c r="C540" s="1" t="s">
        <v>479</v>
      </c>
      <c r="D540" s="1" t="s">
        <v>455</v>
      </c>
      <c r="E540" s="1" t="s">
        <v>466</v>
      </c>
      <c r="F540" s="1" t="s">
        <v>467</v>
      </c>
      <c r="G540" s="1" t="s">
        <v>173</v>
      </c>
    </row>
    <row r="541" spans="1:7" x14ac:dyDescent="0.25">
      <c r="A541" s="1">
        <v>48470</v>
      </c>
      <c r="B541" s="1" t="s">
        <v>178</v>
      </c>
      <c r="C541" s="1" t="s">
        <v>479</v>
      </c>
      <c r="D541" s="1" t="s">
        <v>455</v>
      </c>
      <c r="E541" s="1" t="s">
        <v>466</v>
      </c>
      <c r="F541" s="1" t="s">
        <v>468</v>
      </c>
      <c r="G541" s="1" t="s">
        <v>173</v>
      </c>
    </row>
    <row r="542" spans="1:7" x14ac:dyDescent="0.25">
      <c r="A542" s="1">
        <v>58389</v>
      </c>
      <c r="B542" s="1" t="s">
        <v>178</v>
      </c>
      <c r="C542" s="1" t="s">
        <v>479</v>
      </c>
      <c r="D542" s="1" t="s">
        <v>455</v>
      </c>
      <c r="E542" s="1" t="s">
        <v>539</v>
      </c>
      <c r="F542" s="1" t="s">
        <v>540</v>
      </c>
      <c r="G542" s="1" t="s">
        <v>173</v>
      </c>
    </row>
    <row r="543" spans="1:7" x14ac:dyDescent="0.25">
      <c r="A543" s="1">
        <v>58390</v>
      </c>
      <c r="B543" s="1" t="s">
        <v>178</v>
      </c>
      <c r="C543" s="1" t="s">
        <v>479</v>
      </c>
      <c r="D543" s="1" t="s">
        <v>455</v>
      </c>
      <c r="E543" s="1" t="s">
        <v>539</v>
      </c>
      <c r="F543" s="1" t="s">
        <v>541</v>
      </c>
      <c r="G543" s="1" t="s">
        <v>173</v>
      </c>
    </row>
    <row r="544" spans="1:7" x14ac:dyDescent="0.25">
      <c r="A544" s="1">
        <v>48472</v>
      </c>
      <c r="B544" s="1" t="s">
        <v>178</v>
      </c>
      <c r="C544" s="1" t="s">
        <v>479</v>
      </c>
      <c r="D544" s="1" t="s">
        <v>469</v>
      </c>
      <c r="E544" s="1" t="s">
        <v>470</v>
      </c>
      <c r="F544" s="1" t="s">
        <v>471</v>
      </c>
      <c r="G544" s="1" t="s">
        <v>173</v>
      </c>
    </row>
    <row r="545" spans="1:7" x14ac:dyDescent="0.25">
      <c r="A545" s="1">
        <v>49054</v>
      </c>
      <c r="B545" s="1" t="s">
        <v>178</v>
      </c>
      <c r="C545" s="1" t="s">
        <v>542</v>
      </c>
      <c r="D545" s="1" t="s">
        <v>180</v>
      </c>
      <c r="E545" s="1" t="s">
        <v>181</v>
      </c>
      <c r="F545" s="1" t="s">
        <v>543</v>
      </c>
      <c r="G545" s="1" t="s">
        <v>173</v>
      </c>
    </row>
    <row r="546" spans="1:7" x14ac:dyDescent="0.25">
      <c r="A546" s="1">
        <v>49055</v>
      </c>
      <c r="B546" s="1" t="s">
        <v>178</v>
      </c>
      <c r="C546" s="1" t="s">
        <v>542</v>
      </c>
      <c r="D546" s="1" t="s">
        <v>180</v>
      </c>
      <c r="E546" s="1" t="s">
        <v>181</v>
      </c>
      <c r="F546" s="1" t="s">
        <v>544</v>
      </c>
      <c r="G546" s="1" t="s">
        <v>173</v>
      </c>
    </row>
    <row r="547" spans="1:7" x14ac:dyDescent="0.25">
      <c r="A547" s="1">
        <v>37422</v>
      </c>
      <c r="B547" s="1" t="s">
        <v>178</v>
      </c>
      <c r="C547" s="1" t="s">
        <v>542</v>
      </c>
      <c r="D547" s="1" t="s">
        <v>184</v>
      </c>
      <c r="E547" s="1" t="s">
        <v>185</v>
      </c>
      <c r="F547" s="1" t="s">
        <v>545</v>
      </c>
      <c r="G547" s="1" t="s">
        <v>173</v>
      </c>
    </row>
    <row r="548" spans="1:7" x14ac:dyDescent="0.25">
      <c r="A548" s="1">
        <v>37423</v>
      </c>
      <c r="B548" s="1" t="s">
        <v>178</v>
      </c>
      <c r="C548" s="1" t="s">
        <v>542</v>
      </c>
      <c r="D548" s="1" t="s">
        <v>184</v>
      </c>
      <c r="E548" s="1" t="s">
        <v>185</v>
      </c>
      <c r="F548" s="1" t="s">
        <v>546</v>
      </c>
      <c r="G548" s="1" t="s">
        <v>173</v>
      </c>
    </row>
    <row r="549" spans="1:7" x14ac:dyDescent="0.25">
      <c r="A549" s="1">
        <v>48867</v>
      </c>
      <c r="B549" s="1" t="s">
        <v>178</v>
      </c>
      <c r="C549" s="1" t="s">
        <v>542</v>
      </c>
      <c r="D549" s="1" t="s">
        <v>188</v>
      </c>
      <c r="E549" s="1" t="s">
        <v>189</v>
      </c>
      <c r="F549" s="1" t="s">
        <v>190</v>
      </c>
      <c r="G549" s="1" t="s">
        <v>173</v>
      </c>
    </row>
    <row r="550" spans="1:7" x14ac:dyDescent="0.25">
      <c r="A550" s="1">
        <v>48868</v>
      </c>
      <c r="B550" s="1" t="s">
        <v>178</v>
      </c>
      <c r="C550" s="1" t="s">
        <v>542</v>
      </c>
      <c r="D550" s="1" t="s">
        <v>188</v>
      </c>
      <c r="E550" s="1" t="s">
        <v>189</v>
      </c>
      <c r="F550" s="1" t="s">
        <v>191</v>
      </c>
      <c r="G550" s="1" t="s">
        <v>173</v>
      </c>
    </row>
    <row r="551" spans="1:7" x14ac:dyDescent="0.25">
      <c r="A551" s="1">
        <v>48874</v>
      </c>
      <c r="B551" s="1" t="s">
        <v>178</v>
      </c>
      <c r="C551" s="1" t="s">
        <v>542</v>
      </c>
      <c r="D551" s="1" t="s">
        <v>188</v>
      </c>
      <c r="E551" s="1" t="s">
        <v>192</v>
      </c>
      <c r="F551" s="1" t="s">
        <v>193</v>
      </c>
      <c r="G551" s="1" t="s">
        <v>173</v>
      </c>
    </row>
    <row r="552" spans="1:7" x14ac:dyDescent="0.25">
      <c r="A552" s="1">
        <v>48875</v>
      </c>
      <c r="B552" s="1" t="s">
        <v>178</v>
      </c>
      <c r="C552" s="1" t="s">
        <v>542</v>
      </c>
      <c r="D552" s="1" t="s">
        <v>188</v>
      </c>
      <c r="E552" s="1" t="s">
        <v>192</v>
      </c>
      <c r="F552" s="1" t="s">
        <v>194</v>
      </c>
      <c r="G552" s="1" t="s">
        <v>173</v>
      </c>
    </row>
    <row r="553" spans="1:7" x14ac:dyDescent="0.25">
      <c r="A553" s="1">
        <v>48870</v>
      </c>
      <c r="B553" s="1" t="s">
        <v>178</v>
      </c>
      <c r="C553" s="1" t="s">
        <v>542</v>
      </c>
      <c r="D553" s="1" t="s">
        <v>188</v>
      </c>
      <c r="E553" s="1" t="s">
        <v>198</v>
      </c>
      <c r="F553" s="1" t="s">
        <v>547</v>
      </c>
      <c r="G553" s="1" t="s">
        <v>173</v>
      </c>
    </row>
    <row r="554" spans="1:7" x14ac:dyDescent="0.25">
      <c r="A554" s="1">
        <v>48871</v>
      </c>
      <c r="B554" s="1" t="s">
        <v>178</v>
      </c>
      <c r="C554" s="1" t="s">
        <v>542</v>
      </c>
      <c r="D554" s="1" t="s">
        <v>188</v>
      </c>
      <c r="E554" s="1" t="s">
        <v>198</v>
      </c>
      <c r="F554" s="1" t="s">
        <v>548</v>
      </c>
      <c r="G554" s="1" t="s">
        <v>173</v>
      </c>
    </row>
    <row r="555" spans="1:7" x14ac:dyDescent="0.25">
      <c r="A555" s="1">
        <v>48872</v>
      </c>
      <c r="B555" s="1" t="s">
        <v>178</v>
      </c>
      <c r="C555" s="1" t="s">
        <v>542</v>
      </c>
      <c r="D555" s="1" t="s">
        <v>188</v>
      </c>
      <c r="E555" s="1" t="s">
        <v>198</v>
      </c>
      <c r="F555" s="1" t="s">
        <v>549</v>
      </c>
      <c r="G555" s="1" t="s">
        <v>173</v>
      </c>
    </row>
    <row r="556" spans="1:7" x14ac:dyDescent="0.25">
      <c r="A556" s="1">
        <v>37426</v>
      </c>
      <c r="B556" s="1" t="s">
        <v>178</v>
      </c>
      <c r="C556" s="1" t="s">
        <v>542</v>
      </c>
      <c r="D556" s="1" t="s">
        <v>201</v>
      </c>
      <c r="E556" s="1" t="s">
        <v>202</v>
      </c>
      <c r="F556" s="1" t="s">
        <v>550</v>
      </c>
      <c r="G556" s="1" t="s">
        <v>173</v>
      </c>
    </row>
    <row r="557" spans="1:7" x14ac:dyDescent="0.25">
      <c r="A557" s="1">
        <v>37427</v>
      </c>
      <c r="B557" s="1" t="s">
        <v>178</v>
      </c>
      <c r="C557" s="1" t="s">
        <v>542</v>
      </c>
      <c r="D557" s="1" t="s">
        <v>201</v>
      </c>
      <c r="E557" s="1" t="s">
        <v>202</v>
      </c>
      <c r="F557" s="1" t="s">
        <v>551</v>
      </c>
      <c r="G557" s="1" t="s">
        <v>173</v>
      </c>
    </row>
    <row r="558" spans="1:7" x14ac:dyDescent="0.25">
      <c r="A558" s="1">
        <v>37428</v>
      </c>
      <c r="B558" s="1" t="s">
        <v>178</v>
      </c>
      <c r="C558" s="1" t="s">
        <v>542</v>
      </c>
      <c r="D558" s="1" t="s">
        <v>201</v>
      </c>
      <c r="E558" s="1" t="s">
        <v>202</v>
      </c>
      <c r="F558" s="1" t="s">
        <v>552</v>
      </c>
      <c r="G558" s="1" t="s">
        <v>173</v>
      </c>
    </row>
    <row r="559" spans="1:7" x14ac:dyDescent="0.25">
      <c r="A559" s="1">
        <v>37431</v>
      </c>
      <c r="B559" s="1" t="s">
        <v>178</v>
      </c>
      <c r="C559" s="1" t="s">
        <v>542</v>
      </c>
      <c r="D559" s="1" t="s">
        <v>206</v>
      </c>
      <c r="E559" s="1" t="s">
        <v>207</v>
      </c>
      <c r="F559" s="1" t="s">
        <v>553</v>
      </c>
      <c r="G559" s="1" t="s">
        <v>173</v>
      </c>
    </row>
    <row r="560" spans="1:7" x14ac:dyDescent="0.25">
      <c r="A560" s="1">
        <v>37432</v>
      </c>
      <c r="B560" s="1" t="s">
        <v>178</v>
      </c>
      <c r="C560" s="1" t="s">
        <v>542</v>
      </c>
      <c r="D560" s="1" t="s">
        <v>206</v>
      </c>
      <c r="E560" s="1" t="s">
        <v>207</v>
      </c>
      <c r="F560" s="1" t="s">
        <v>554</v>
      </c>
      <c r="G560" s="1" t="s">
        <v>173</v>
      </c>
    </row>
    <row r="561" spans="1:7" x14ac:dyDescent="0.25">
      <c r="A561" s="1">
        <v>37433</v>
      </c>
      <c r="B561" s="1" t="s">
        <v>178</v>
      </c>
      <c r="C561" s="1" t="s">
        <v>542</v>
      </c>
      <c r="D561" s="1" t="s">
        <v>206</v>
      </c>
      <c r="E561" s="1" t="s">
        <v>207</v>
      </c>
      <c r="F561" s="1" t="s">
        <v>555</v>
      </c>
      <c r="G561" s="1" t="s">
        <v>173</v>
      </c>
    </row>
    <row r="562" spans="1:7" x14ac:dyDescent="0.25">
      <c r="A562" s="1">
        <v>37434</v>
      </c>
      <c r="B562" s="1" t="s">
        <v>178</v>
      </c>
      <c r="C562" s="1" t="s">
        <v>542</v>
      </c>
      <c r="D562" s="1" t="s">
        <v>206</v>
      </c>
      <c r="E562" s="1" t="s">
        <v>207</v>
      </c>
      <c r="F562" s="1" t="s">
        <v>556</v>
      </c>
      <c r="G562" s="1" t="s">
        <v>173</v>
      </c>
    </row>
    <row r="563" spans="1:7" x14ac:dyDescent="0.25">
      <c r="A563" s="1">
        <v>37436</v>
      </c>
      <c r="B563" s="1" t="s">
        <v>178</v>
      </c>
      <c r="C563" s="1" t="s">
        <v>542</v>
      </c>
      <c r="D563" s="1" t="s">
        <v>206</v>
      </c>
      <c r="E563" s="1" t="s">
        <v>212</v>
      </c>
      <c r="F563" s="1" t="s">
        <v>213</v>
      </c>
      <c r="G563" s="1" t="s">
        <v>173</v>
      </c>
    </row>
    <row r="564" spans="1:7" x14ac:dyDescent="0.25">
      <c r="A564" s="1">
        <v>37437</v>
      </c>
      <c r="B564" s="1" t="s">
        <v>178</v>
      </c>
      <c r="C564" s="1" t="s">
        <v>542</v>
      </c>
      <c r="D564" s="1" t="s">
        <v>206</v>
      </c>
      <c r="E564" s="1" t="s">
        <v>212</v>
      </c>
      <c r="F564" s="1" t="s">
        <v>214</v>
      </c>
      <c r="G564" s="1" t="s">
        <v>173</v>
      </c>
    </row>
    <row r="565" spans="1:7" x14ac:dyDescent="0.25">
      <c r="A565" s="1">
        <v>37438</v>
      </c>
      <c r="B565" s="1" t="s">
        <v>178</v>
      </c>
      <c r="C565" s="1" t="s">
        <v>542</v>
      </c>
      <c r="D565" s="1" t="s">
        <v>206</v>
      </c>
      <c r="E565" s="1" t="s">
        <v>212</v>
      </c>
      <c r="F565" s="1" t="s">
        <v>215</v>
      </c>
      <c r="G565" s="1" t="s">
        <v>173</v>
      </c>
    </row>
    <row r="566" spans="1:7" x14ac:dyDescent="0.25">
      <c r="A566" s="1">
        <v>46900</v>
      </c>
      <c r="B566" s="1" t="s">
        <v>178</v>
      </c>
      <c r="C566" s="1" t="s">
        <v>542</v>
      </c>
      <c r="D566" s="1" t="s">
        <v>216</v>
      </c>
      <c r="E566" s="1" t="s">
        <v>217</v>
      </c>
      <c r="F566" s="1" t="s">
        <v>557</v>
      </c>
      <c r="G566" s="1" t="s">
        <v>173</v>
      </c>
    </row>
    <row r="567" spans="1:7" x14ac:dyDescent="0.25">
      <c r="A567" s="1">
        <v>46901</v>
      </c>
      <c r="B567" s="1" t="s">
        <v>178</v>
      </c>
      <c r="C567" s="1" t="s">
        <v>542</v>
      </c>
      <c r="D567" s="1" t="s">
        <v>216</v>
      </c>
      <c r="E567" s="1" t="s">
        <v>217</v>
      </c>
      <c r="F567" s="1" t="s">
        <v>558</v>
      </c>
      <c r="G567" s="1" t="s">
        <v>173</v>
      </c>
    </row>
    <row r="568" spans="1:7" x14ac:dyDescent="0.25">
      <c r="A568" s="1">
        <v>46902</v>
      </c>
      <c r="B568" s="1" t="s">
        <v>178</v>
      </c>
      <c r="C568" s="1" t="s">
        <v>542</v>
      </c>
      <c r="D568" s="1" t="s">
        <v>216</v>
      </c>
      <c r="E568" s="1" t="s">
        <v>217</v>
      </c>
      <c r="F568" s="1" t="s">
        <v>559</v>
      </c>
      <c r="G568" s="1" t="s">
        <v>173</v>
      </c>
    </row>
    <row r="569" spans="1:7" x14ac:dyDescent="0.25">
      <c r="A569" s="1">
        <v>37448</v>
      </c>
      <c r="B569" s="1" t="s">
        <v>178</v>
      </c>
      <c r="C569" s="1" t="s">
        <v>542</v>
      </c>
      <c r="D569" s="1" t="s">
        <v>228</v>
      </c>
      <c r="E569" s="1" t="s">
        <v>560</v>
      </c>
      <c r="F569" s="1" t="s">
        <v>561</v>
      </c>
      <c r="G569" s="1" t="s">
        <v>173</v>
      </c>
    </row>
    <row r="570" spans="1:7" x14ac:dyDescent="0.25">
      <c r="A570" s="1">
        <v>37449</v>
      </c>
      <c r="B570" s="1" t="s">
        <v>178</v>
      </c>
      <c r="C570" s="1" t="s">
        <v>542</v>
      </c>
      <c r="D570" s="1" t="s">
        <v>228</v>
      </c>
      <c r="E570" s="1" t="s">
        <v>560</v>
      </c>
      <c r="F570" s="1" t="s">
        <v>562</v>
      </c>
      <c r="G570" s="1" t="s">
        <v>173</v>
      </c>
    </row>
    <row r="571" spans="1:7" x14ac:dyDescent="0.25">
      <c r="A571" s="1">
        <v>37450</v>
      </c>
      <c r="B571" s="1" t="s">
        <v>178</v>
      </c>
      <c r="C571" s="1" t="s">
        <v>542</v>
      </c>
      <c r="D571" s="1" t="s">
        <v>228</v>
      </c>
      <c r="E571" s="1" t="s">
        <v>560</v>
      </c>
      <c r="F571" s="1" t="s">
        <v>563</v>
      </c>
      <c r="G571" s="1" t="s">
        <v>173</v>
      </c>
    </row>
    <row r="572" spans="1:7" x14ac:dyDescent="0.25">
      <c r="A572" s="1">
        <v>40007</v>
      </c>
      <c r="B572" s="1" t="s">
        <v>178</v>
      </c>
      <c r="C572" s="1" t="s">
        <v>542</v>
      </c>
      <c r="D572" s="1" t="s">
        <v>228</v>
      </c>
      <c r="E572" s="1" t="s">
        <v>229</v>
      </c>
      <c r="F572" s="1" t="s">
        <v>230</v>
      </c>
      <c r="G572" s="1" t="s">
        <v>173</v>
      </c>
    </row>
    <row r="573" spans="1:7" x14ac:dyDescent="0.25">
      <c r="A573" s="1">
        <v>37441</v>
      </c>
      <c r="B573" s="1" t="s">
        <v>178</v>
      </c>
      <c r="C573" s="1" t="s">
        <v>542</v>
      </c>
      <c r="D573" s="1" t="s">
        <v>228</v>
      </c>
      <c r="E573" s="1" t="s">
        <v>229</v>
      </c>
      <c r="F573" s="1" t="s">
        <v>231</v>
      </c>
      <c r="G573" s="1" t="s">
        <v>173</v>
      </c>
    </row>
    <row r="574" spans="1:7" x14ac:dyDescent="0.25">
      <c r="A574" s="1">
        <v>37442</v>
      </c>
      <c r="B574" s="1" t="s">
        <v>178</v>
      </c>
      <c r="C574" s="1" t="s">
        <v>542</v>
      </c>
      <c r="D574" s="1" t="s">
        <v>228</v>
      </c>
      <c r="E574" s="1" t="s">
        <v>229</v>
      </c>
      <c r="F574" s="1" t="s">
        <v>232</v>
      </c>
      <c r="G574" s="1" t="s">
        <v>173</v>
      </c>
    </row>
    <row r="575" spans="1:7" x14ac:dyDescent="0.25">
      <c r="A575" s="1">
        <v>49063</v>
      </c>
      <c r="B575" s="1" t="s">
        <v>178</v>
      </c>
      <c r="C575" s="1" t="s">
        <v>542</v>
      </c>
      <c r="D575" s="1" t="s">
        <v>228</v>
      </c>
      <c r="E575" s="1" t="s">
        <v>564</v>
      </c>
      <c r="F575" s="1" t="s">
        <v>565</v>
      </c>
      <c r="G575" s="1" t="s">
        <v>173</v>
      </c>
    </row>
    <row r="576" spans="1:7" x14ac:dyDescent="0.25">
      <c r="A576" s="1">
        <v>37453</v>
      </c>
      <c r="B576" s="1" t="s">
        <v>178</v>
      </c>
      <c r="C576" s="1" t="s">
        <v>542</v>
      </c>
      <c r="D576" s="1" t="s">
        <v>243</v>
      </c>
      <c r="E576" s="1" t="s">
        <v>244</v>
      </c>
      <c r="F576" s="1" t="s">
        <v>566</v>
      </c>
      <c r="G576" s="1" t="s">
        <v>173</v>
      </c>
    </row>
    <row r="577" spans="1:7" x14ac:dyDescent="0.25">
      <c r="A577" s="1">
        <v>37454</v>
      </c>
      <c r="B577" s="1" t="s">
        <v>178</v>
      </c>
      <c r="C577" s="1" t="s">
        <v>542</v>
      </c>
      <c r="D577" s="1" t="s">
        <v>243</v>
      </c>
      <c r="E577" s="1" t="s">
        <v>244</v>
      </c>
      <c r="F577" s="1" t="s">
        <v>567</v>
      </c>
      <c r="G577" s="1" t="s">
        <v>173</v>
      </c>
    </row>
    <row r="578" spans="1:7" x14ac:dyDescent="0.25">
      <c r="A578" s="1">
        <v>37460</v>
      </c>
      <c r="B578" s="1" t="s">
        <v>178</v>
      </c>
      <c r="C578" s="1" t="s">
        <v>542</v>
      </c>
      <c r="D578" s="1" t="s">
        <v>250</v>
      </c>
      <c r="E578" s="1" t="s">
        <v>251</v>
      </c>
      <c r="F578" s="1" t="s">
        <v>568</v>
      </c>
      <c r="G578" s="1" t="s">
        <v>173</v>
      </c>
    </row>
    <row r="579" spans="1:7" x14ac:dyDescent="0.25">
      <c r="A579" s="1">
        <v>37462</v>
      </c>
      <c r="B579" s="1" t="s">
        <v>178</v>
      </c>
      <c r="C579" s="1" t="s">
        <v>542</v>
      </c>
      <c r="D579" s="1" t="s">
        <v>60</v>
      </c>
      <c r="E579" s="1" t="s">
        <v>253</v>
      </c>
      <c r="F579" s="1" t="s">
        <v>569</v>
      </c>
      <c r="G579" s="1" t="s">
        <v>173</v>
      </c>
    </row>
    <row r="580" spans="1:7" x14ac:dyDescent="0.25">
      <c r="A580" s="1">
        <v>37464</v>
      </c>
      <c r="B580" s="1" t="s">
        <v>178</v>
      </c>
      <c r="C580" s="1" t="s">
        <v>542</v>
      </c>
      <c r="D580" s="1" t="s">
        <v>60</v>
      </c>
      <c r="E580" s="1" t="s">
        <v>253</v>
      </c>
      <c r="F580" s="1" t="s">
        <v>570</v>
      </c>
      <c r="G580" s="1" t="s">
        <v>173</v>
      </c>
    </row>
    <row r="581" spans="1:7" x14ac:dyDescent="0.25">
      <c r="A581" s="1">
        <v>37465</v>
      </c>
      <c r="B581" s="1" t="s">
        <v>178</v>
      </c>
      <c r="C581" s="1" t="s">
        <v>542</v>
      </c>
      <c r="D581" s="1" t="s">
        <v>60</v>
      </c>
      <c r="E581" s="1" t="s">
        <v>253</v>
      </c>
      <c r="F581" s="1" t="s">
        <v>571</v>
      </c>
      <c r="G581" s="1" t="s">
        <v>173</v>
      </c>
    </row>
    <row r="582" spans="1:7" x14ac:dyDescent="0.25">
      <c r="A582" s="1">
        <v>37468</v>
      </c>
      <c r="B582" s="1" t="s">
        <v>178</v>
      </c>
      <c r="C582" s="1" t="s">
        <v>542</v>
      </c>
      <c r="D582" s="1" t="s">
        <v>258</v>
      </c>
      <c r="E582" s="1" t="s">
        <v>259</v>
      </c>
      <c r="F582" s="1" t="s">
        <v>572</v>
      </c>
      <c r="G582" s="1" t="s">
        <v>173</v>
      </c>
    </row>
    <row r="583" spans="1:7" x14ac:dyDescent="0.25">
      <c r="A583" s="1">
        <v>37469</v>
      </c>
      <c r="B583" s="1" t="s">
        <v>178</v>
      </c>
      <c r="C583" s="1" t="s">
        <v>542</v>
      </c>
      <c r="D583" s="1" t="s">
        <v>258</v>
      </c>
      <c r="E583" s="1" t="s">
        <v>259</v>
      </c>
      <c r="F583" s="1" t="s">
        <v>573</v>
      </c>
      <c r="G583" s="1" t="s">
        <v>173</v>
      </c>
    </row>
    <row r="584" spans="1:7" x14ac:dyDescent="0.25">
      <c r="A584" s="1">
        <v>37478</v>
      </c>
      <c r="B584" s="1" t="s">
        <v>178</v>
      </c>
      <c r="C584" s="1" t="s">
        <v>542</v>
      </c>
      <c r="D584" s="1" t="s">
        <v>261</v>
      </c>
      <c r="E584" s="1" t="s">
        <v>262</v>
      </c>
      <c r="F584" s="1" t="s">
        <v>263</v>
      </c>
      <c r="G584" s="1" t="s">
        <v>173</v>
      </c>
    </row>
    <row r="585" spans="1:7" x14ac:dyDescent="0.25">
      <c r="A585" s="1">
        <v>37479</v>
      </c>
      <c r="B585" s="1" t="s">
        <v>178</v>
      </c>
      <c r="C585" s="1" t="s">
        <v>542</v>
      </c>
      <c r="D585" s="1" t="s">
        <v>261</v>
      </c>
      <c r="E585" s="1" t="s">
        <v>262</v>
      </c>
      <c r="F585" s="1" t="s">
        <v>264</v>
      </c>
      <c r="G585" s="1" t="s">
        <v>173</v>
      </c>
    </row>
    <row r="586" spans="1:7" x14ac:dyDescent="0.25">
      <c r="A586" s="1">
        <v>37480</v>
      </c>
      <c r="B586" s="1" t="s">
        <v>178</v>
      </c>
      <c r="C586" s="1" t="s">
        <v>542</v>
      </c>
      <c r="D586" s="1" t="s">
        <v>261</v>
      </c>
      <c r="E586" s="1" t="s">
        <v>262</v>
      </c>
      <c r="F586" s="1" t="s">
        <v>265</v>
      </c>
      <c r="G586" s="1" t="s">
        <v>173</v>
      </c>
    </row>
    <row r="587" spans="1:7" x14ac:dyDescent="0.25">
      <c r="A587" s="1">
        <v>37484</v>
      </c>
      <c r="B587" s="1" t="s">
        <v>178</v>
      </c>
      <c r="C587" s="1" t="s">
        <v>542</v>
      </c>
      <c r="D587" s="1" t="s">
        <v>261</v>
      </c>
      <c r="E587" s="1" t="s">
        <v>266</v>
      </c>
      <c r="F587" s="1" t="s">
        <v>574</v>
      </c>
      <c r="G587" s="1" t="s">
        <v>173</v>
      </c>
    </row>
    <row r="588" spans="1:7" x14ac:dyDescent="0.25">
      <c r="A588" s="1">
        <v>37485</v>
      </c>
      <c r="B588" s="1" t="s">
        <v>178</v>
      </c>
      <c r="C588" s="1" t="s">
        <v>542</v>
      </c>
      <c r="D588" s="1" t="s">
        <v>261</v>
      </c>
      <c r="E588" s="1" t="s">
        <v>266</v>
      </c>
      <c r="F588" s="1" t="s">
        <v>575</v>
      </c>
      <c r="G588" s="1" t="s">
        <v>173</v>
      </c>
    </row>
    <row r="589" spans="1:7" x14ac:dyDescent="0.25">
      <c r="A589" s="1">
        <v>37486</v>
      </c>
      <c r="B589" s="1" t="s">
        <v>178</v>
      </c>
      <c r="C589" s="1" t="s">
        <v>542</v>
      </c>
      <c r="D589" s="1" t="s">
        <v>261</v>
      </c>
      <c r="E589" s="1" t="s">
        <v>266</v>
      </c>
      <c r="F589" s="1" t="s">
        <v>576</v>
      </c>
      <c r="G589" s="1" t="s">
        <v>173</v>
      </c>
    </row>
    <row r="590" spans="1:7" x14ac:dyDescent="0.25">
      <c r="A590" s="1">
        <v>37472</v>
      </c>
      <c r="B590" s="1" t="s">
        <v>178</v>
      </c>
      <c r="C590" s="1" t="s">
        <v>542</v>
      </c>
      <c r="D590" s="1" t="s">
        <v>261</v>
      </c>
      <c r="E590" s="1" t="s">
        <v>272</v>
      </c>
      <c r="F590" s="1" t="s">
        <v>279</v>
      </c>
      <c r="G590" s="1" t="s">
        <v>173</v>
      </c>
    </row>
    <row r="591" spans="1:7" x14ac:dyDescent="0.25">
      <c r="A591" s="1">
        <v>37473</v>
      </c>
      <c r="B591" s="1" t="s">
        <v>178</v>
      </c>
      <c r="C591" s="1" t="s">
        <v>542</v>
      </c>
      <c r="D591" s="1" t="s">
        <v>261</v>
      </c>
      <c r="E591" s="1" t="s">
        <v>272</v>
      </c>
      <c r="F591" s="1" t="s">
        <v>280</v>
      </c>
      <c r="G591" s="1" t="s">
        <v>173</v>
      </c>
    </row>
    <row r="592" spans="1:7" x14ac:dyDescent="0.25">
      <c r="A592" s="1">
        <v>37475</v>
      </c>
      <c r="B592" s="1" t="s">
        <v>178</v>
      </c>
      <c r="C592" s="1" t="s">
        <v>542</v>
      </c>
      <c r="D592" s="1" t="s">
        <v>261</v>
      </c>
      <c r="E592" s="1" t="s">
        <v>278</v>
      </c>
      <c r="F592" s="1" t="s">
        <v>577</v>
      </c>
      <c r="G592" s="1" t="s">
        <v>173</v>
      </c>
    </row>
    <row r="593" spans="1:7" x14ac:dyDescent="0.25">
      <c r="A593" s="1">
        <v>37476</v>
      </c>
      <c r="B593" s="1" t="s">
        <v>178</v>
      </c>
      <c r="C593" s="1" t="s">
        <v>542</v>
      </c>
      <c r="D593" s="1" t="s">
        <v>261</v>
      </c>
      <c r="E593" s="1" t="s">
        <v>278</v>
      </c>
      <c r="F593" s="1" t="s">
        <v>578</v>
      </c>
      <c r="G593" s="1" t="s">
        <v>173</v>
      </c>
    </row>
    <row r="594" spans="1:7" x14ac:dyDescent="0.25">
      <c r="A594" s="1">
        <v>37489</v>
      </c>
      <c r="B594" s="1" t="s">
        <v>178</v>
      </c>
      <c r="C594" s="1" t="s">
        <v>542</v>
      </c>
      <c r="D594" s="1" t="s">
        <v>284</v>
      </c>
      <c r="E594" s="1" t="s">
        <v>285</v>
      </c>
      <c r="F594" s="1" t="s">
        <v>579</v>
      </c>
      <c r="G594" s="1" t="s">
        <v>173</v>
      </c>
    </row>
    <row r="595" spans="1:7" x14ac:dyDescent="0.25">
      <c r="A595" s="1">
        <v>37490</v>
      </c>
      <c r="B595" s="1" t="s">
        <v>178</v>
      </c>
      <c r="C595" s="1" t="s">
        <v>542</v>
      </c>
      <c r="D595" s="1" t="s">
        <v>284</v>
      </c>
      <c r="E595" s="1" t="s">
        <v>285</v>
      </c>
      <c r="F595" s="1" t="s">
        <v>580</v>
      </c>
      <c r="G595" s="1" t="s">
        <v>173</v>
      </c>
    </row>
    <row r="596" spans="1:7" x14ac:dyDescent="0.25">
      <c r="A596" s="1">
        <v>37491</v>
      </c>
      <c r="B596" s="1" t="s">
        <v>178</v>
      </c>
      <c r="C596" s="1" t="s">
        <v>542</v>
      </c>
      <c r="D596" s="1" t="s">
        <v>284</v>
      </c>
      <c r="E596" s="1" t="s">
        <v>285</v>
      </c>
      <c r="F596" s="1" t="s">
        <v>581</v>
      </c>
      <c r="G596" s="1" t="s">
        <v>173</v>
      </c>
    </row>
    <row r="597" spans="1:7" x14ac:dyDescent="0.25">
      <c r="A597" s="1">
        <v>37494</v>
      </c>
      <c r="B597" s="1" t="s">
        <v>178</v>
      </c>
      <c r="C597" s="1" t="s">
        <v>542</v>
      </c>
      <c r="D597" s="1" t="s">
        <v>290</v>
      </c>
      <c r="E597" s="1" t="s">
        <v>291</v>
      </c>
      <c r="F597" s="1" t="s">
        <v>582</v>
      </c>
      <c r="G597" s="1" t="s">
        <v>173</v>
      </c>
    </row>
    <row r="598" spans="1:7" x14ac:dyDescent="0.25">
      <c r="A598" s="1">
        <v>37495</v>
      </c>
      <c r="B598" s="1" t="s">
        <v>178</v>
      </c>
      <c r="C598" s="1" t="s">
        <v>542</v>
      </c>
      <c r="D598" s="1" t="s">
        <v>290</v>
      </c>
      <c r="E598" s="1" t="s">
        <v>291</v>
      </c>
      <c r="F598" s="1" t="s">
        <v>583</v>
      </c>
      <c r="G598" s="1" t="s">
        <v>173</v>
      </c>
    </row>
    <row r="599" spans="1:7" x14ac:dyDescent="0.25">
      <c r="A599" s="1">
        <v>37498</v>
      </c>
      <c r="B599" s="1" t="s">
        <v>178</v>
      </c>
      <c r="C599" s="1" t="s">
        <v>542</v>
      </c>
      <c r="D599" s="1" t="s">
        <v>293</v>
      </c>
      <c r="E599" s="1" t="s">
        <v>294</v>
      </c>
      <c r="F599" s="1" t="s">
        <v>295</v>
      </c>
      <c r="G599" s="1" t="s">
        <v>173</v>
      </c>
    </row>
    <row r="600" spans="1:7" x14ac:dyDescent="0.25">
      <c r="A600" s="1">
        <v>37499</v>
      </c>
      <c r="B600" s="1" t="s">
        <v>178</v>
      </c>
      <c r="C600" s="1" t="s">
        <v>542</v>
      </c>
      <c r="D600" s="1" t="s">
        <v>293</v>
      </c>
      <c r="E600" s="1" t="s">
        <v>294</v>
      </c>
      <c r="F600" s="1" t="s">
        <v>296</v>
      </c>
      <c r="G600" s="1" t="s">
        <v>173</v>
      </c>
    </row>
    <row r="601" spans="1:7" x14ac:dyDescent="0.25">
      <c r="A601" s="1">
        <v>37502</v>
      </c>
      <c r="B601" s="1" t="s">
        <v>178</v>
      </c>
      <c r="C601" s="1" t="s">
        <v>542</v>
      </c>
      <c r="D601" s="1" t="s">
        <v>584</v>
      </c>
      <c r="E601" s="1" t="s">
        <v>585</v>
      </c>
      <c r="F601" s="1" t="s">
        <v>586</v>
      </c>
      <c r="G601" s="1" t="s">
        <v>173</v>
      </c>
    </row>
    <row r="602" spans="1:7" x14ac:dyDescent="0.25">
      <c r="A602" s="1">
        <v>37503</v>
      </c>
      <c r="B602" s="1" t="s">
        <v>178</v>
      </c>
      <c r="C602" s="1" t="s">
        <v>542</v>
      </c>
      <c r="D602" s="1" t="s">
        <v>584</v>
      </c>
      <c r="E602" s="1" t="s">
        <v>585</v>
      </c>
      <c r="F602" s="1" t="s">
        <v>587</v>
      </c>
      <c r="G602" s="1" t="s">
        <v>173</v>
      </c>
    </row>
    <row r="603" spans="1:7" x14ac:dyDescent="0.25">
      <c r="A603" s="1">
        <v>37504</v>
      </c>
      <c r="B603" s="1" t="s">
        <v>178</v>
      </c>
      <c r="C603" s="1" t="s">
        <v>542</v>
      </c>
      <c r="D603" s="1" t="s">
        <v>584</v>
      </c>
      <c r="E603" s="1" t="s">
        <v>585</v>
      </c>
      <c r="F603" s="1" t="s">
        <v>588</v>
      </c>
      <c r="G603" s="1" t="s">
        <v>173</v>
      </c>
    </row>
    <row r="604" spans="1:7" x14ac:dyDescent="0.25">
      <c r="A604" s="1">
        <v>37505</v>
      </c>
      <c r="B604" s="1" t="s">
        <v>178</v>
      </c>
      <c r="C604" s="1" t="s">
        <v>542</v>
      </c>
      <c r="D604" s="1" t="s">
        <v>584</v>
      </c>
      <c r="E604" s="1" t="s">
        <v>585</v>
      </c>
      <c r="F604" s="1" t="s">
        <v>589</v>
      </c>
      <c r="G604" s="1" t="s">
        <v>173</v>
      </c>
    </row>
    <row r="605" spans="1:7" x14ac:dyDescent="0.25">
      <c r="A605" s="1">
        <v>37507</v>
      </c>
      <c r="B605" s="1" t="s">
        <v>178</v>
      </c>
      <c r="C605" s="1" t="s">
        <v>542</v>
      </c>
      <c r="D605" s="1" t="s">
        <v>584</v>
      </c>
      <c r="E605" s="1" t="s">
        <v>590</v>
      </c>
      <c r="F605" s="1" t="s">
        <v>591</v>
      </c>
      <c r="G605" s="1" t="s">
        <v>173</v>
      </c>
    </row>
    <row r="606" spans="1:7" x14ac:dyDescent="0.25">
      <c r="A606" s="1">
        <v>37508</v>
      </c>
      <c r="B606" s="1" t="s">
        <v>178</v>
      </c>
      <c r="C606" s="1" t="s">
        <v>542</v>
      </c>
      <c r="D606" s="1" t="s">
        <v>584</v>
      </c>
      <c r="E606" s="1" t="s">
        <v>590</v>
      </c>
      <c r="F606" s="1" t="s">
        <v>592</v>
      </c>
      <c r="G606" s="1" t="s">
        <v>173</v>
      </c>
    </row>
    <row r="607" spans="1:7" x14ac:dyDescent="0.25">
      <c r="A607" s="1">
        <v>37509</v>
      </c>
      <c r="B607" s="1" t="s">
        <v>178</v>
      </c>
      <c r="C607" s="1" t="s">
        <v>542</v>
      </c>
      <c r="D607" s="1" t="s">
        <v>584</v>
      </c>
      <c r="E607" s="1" t="s">
        <v>590</v>
      </c>
      <c r="F607" s="1" t="s">
        <v>593</v>
      </c>
      <c r="G607" s="1" t="s">
        <v>173</v>
      </c>
    </row>
    <row r="608" spans="1:7" x14ac:dyDescent="0.25">
      <c r="A608" s="1">
        <v>44637</v>
      </c>
      <c r="B608" s="1" t="s">
        <v>178</v>
      </c>
      <c r="C608" s="1" t="s">
        <v>542</v>
      </c>
      <c r="D608" s="1" t="s">
        <v>334</v>
      </c>
      <c r="E608" s="1" t="s">
        <v>335</v>
      </c>
      <c r="F608" s="1" t="s">
        <v>594</v>
      </c>
      <c r="G608" s="1" t="s">
        <v>173</v>
      </c>
    </row>
    <row r="609" spans="1:7" x14ac:dyDescent="0.25">
      <c r="A609" s="1">
        <v>44638</v>
      </c>
      <c r="B609" s="1" t="s">
        <v>178</v>
      </c>
      <c r="C609" s="1" t="s">
        <v>542</v>
      </c>
      <c r="D609" s="1" t="s">
        <v>334</v>
      </c>
      <c r="E609" s="1" t="s">
        <v>335</v>
      </c>
      <c r="F609" s="1" t="s">
        <v>595</v>
      </c>
      <c r="G609" s="1" t="s">
        <v>173</v>
      </c>
    </row>
    <row r="610" spans="1:7" x14ac:dyDescent="0.25">
      <c r="A610" s="1">
        <v>44640</v>
      </c>
      <c r="B610" s="1" t="s">
        <v>178</v>
      </c>
      <c r="C610" s="1" t="s">
        <v>542</v>
      </c>
      <c r="D610" s="1" t="s">
        <v>334</v>
      </c>
      <c r="E610" s="1" t="s">
        <v>338</v>
      </c>
      <c r="F610" s="1" t="s">
        <v>596</v>
      </c>
      <c r="G610" s="1" t="s">
        <v>173</v>
      </c>
    </row>
    <row r="611" spans="1:7" x14ac:dyDescent="0.25">
      <c r="A611" s="1">
        <v>44641</v>
      </c>
      <c r="B611" s="1" t="s">
        <v>178</v>
      </c>
      <c r="C611" s="1" t="s">
        <v>542</v>
      </c>
      <c r="D611" s="1" t="s">
        <v>334</v>
      </c>
      <c r="E611" s="1" t="s">
        <v>338</v>
      </c>
      <c r="F611" s="1" t="s">
        <v>597</v>
      </c>
      <c r="G611" s="1" t="s">
        <v>173</v>
      </c>
    </row>
    <row r="612" spans="1:7" x14ac:dyDescent="0.25">
      <c r="A612" s="1">
        <v>44642</v>
      </c>
      <c r="B612" s="1" t="s">
        <v>178</v>
      </c>
      <c r="C612" s="1" t="s">
        <v>542</v>
      </c>
      <c r="D612" s="1" t="s">
        <v>334</v>
      </c>
      <c r="E612" s="1" t="s">
        <v>338</v>
      </c>
      <c r="F612" s="1" t="s">
        <v>598</v>
      </c>
      <c r="G612" s="1" t="s">
        <v>173</v>
      </c>
    </row>
    <row r="613" spans="1:7" x14ac:dyDescent="0.25">
      <c r="A613" s="1">
        <v>44643</v>
      </c>
      <c r="B613" s="1" t="s">
        <v>178</v>
      </c>
      <c r="C613" s="1" t="s">
        <v>542</v>
      </c>
      <c r="D613" s="1" t="s">
        <v>334</v>
      </c>
      <c r="E613" s="1" t="s">
        <v>338</v>
      </c>
      <c r="F613" s="1" t="s">
        <v>599</v>
      </c>
      <c r="G613" s="1" t="s">
        <v>173</v>
      </c>
    </row>
    <row r="614" spans="1:7" x14ac:dyDescent="0.25">
      <c r="A614" s="1">
        <v>59429</v>
      </c>
      <c r="B614" s="1" t="s">
        <v>178</v>
      </c>
      <c r="C614" s="1" t="s">
        <v>542</v>
      </c>
      <c r="D614" s="1" t="s">
        <v>334</v>
      </c>
      <c r="E614" s="1" t="s">
        <v>600</v>
      </c>
      <c r="F614" s="1" t="s">
        <v>601</v>
      </c>
      <c r="G614" s="1" t="s">
        <v>173</v>
      </c>
    </row>
    <row r="615" spans="1:7" x14ac:dyDescent="0.25">
      <c r="A615" s="1">
        <v>59430</v>
      </c>
      <c r="B615" s="1" t="s">
        <v>178</v>
      </c>
      <c r="C615" s="1" t="s">
        <v>542</v>
      </c>
      <c r="D615" s="1" t="s">
        <v>334</v>
      </c>
      <c r="E615" s="1" t="s">
        <v>600</v>
      </c>
      <c r="F615" s="1" t="s">
        <v>602</v>
      </c>
      <c r="G615" s="1" t="s">
        <v>173</v>
      </c>
    </row>
    <row r="616" spans="1:7" x14ac:dyDescent="0.25">
      <c r="A616" s="1">
        <v>59426</v>
      </c>
      <c r="B616" s="1" t="s">
        <v>178</v>
      </c>
      <c r="C616" s="1" t="s">
        <v>542</v>
      </c>
      <c r="D616" s="1" t="s">
        <v>334</v>
      </c>
      <c r="E616" s="1" t="s">
        <v>603</v>
      </c>
      <c r="F616" s="1" t="s">
        <v>604</v>
      </c>
      <c r="G616" s="1" t="s">
        <v>173</v>
      </c>
    </row>
    <row r="617" spans="1:7" x14ac:dyDescent="0.25">
      <c r="A617" s="1">
        <v>59427</v>
      </c>
      <c r="B617" s="1" t="s">
        <v>178</v>
      </c>
      <c r="C617" s="1" t="s">
        <v>542</v>
      </c>
      <c r="D617" s="1" t="s">
        <v>334</v>
      </c>
      <c r="E617" s="1" t="s">
        <v>603</v>
      </c>
      <c r="F617" s="1" t="s">
        <v>605</v>
      </c>
      <c r="G617" s="1" t="s">
        <v>173</v>
      </c>
    </row>
    <row r="618" spans="1:7" x14ac:dyDescent="0.25">
      <c r="A618" s="1">
        <v>59428</v>
      </c>
      <c r="B618" s="1" t="s">
        <v>178</v>
      </c>
      <c r="C618" s="1" t="s">
        <v>542</v>
      </c>
      <c r="D618" s="1" t="s">
        <v>334</v>
      </c>
      <c r="E618" s="1" t="s">
        <v>606</v>
      </c>
      <c r="F618" s="1" t="s">
        <v>606</v>
      </c>
      <c r="G618" s="1" t="s">
        <v>173</v>
      </c>
    </row>
    <row r="619" spans="1:7" x14ac:dyDescent="0.25">
      <c r="A619" s="1">
        <v>49166</v>
      </c>
      <c r="B619" s="1" t="s">
        <v>178</v>
      </c>
      <c r="C619" s="1" t="s">
        <v>542</v>
      </c>
      <c r="D619" s="1" t="s">
        <v>348</v>
      </c>
      <c r="E619" s="1" t="s">
        <v>349</v>
      </c>
      <c r="F619" s="1" t="s">
        <v>607</v>
      </c>
      <c r="G619" s="1" t="s">
        <v>173</v>
      </c>
    </row>
    <row r="620" spans="1:7" x14ac:dyDescent="0.25">
      <c r="A620" s="1">
        <v>49167</v>
      </c>
      <c r="B620" s="1" t="s">
        <v>178</v>
      </c>
      <c r="C620" s="1" t="s">
        <v>542</v>
      </c>
      <c r="D620" s="1" t="s">
        <v>348</v>
      </c>
      <c r="E620" s="1" t="s">
        <v>349</v>
      </c>
      <c r="F620" s="1" t="s">
        <v>608</v>
      </c>
      <c r="G620" s="1" t="s">
        <v>173</v>
      </c>
    </row>
    <row r="621" spans="1:7" x14ac:dyDescent="0.25">
      <c r="A621" s="1">
        <v>37534</v>
      </c>
      <c r="B621" s="1" t="s">
        <v>178</v>
      </c>
      <c r="C621" s="1" t="s">
        <v>542</v>
      </c>
      <c r="D621" s="1" t="s">
        <v>609</v>
      </c>
      <c r="E621" s="1" t="s">
        <v>610</v>
      </c>
      <c r="F621" s="1" t="s">
        <v>611</v>
      </c>
      <c r="G621" s="1" t="s">
        <v>173</v>
      </c>
    </row>
    <row r="622" spans="1:7" x14ac:dyDescent="0.25">
      <c r="A622" s="1">
        <v>37531</v>
      </c>
      <c r="B622" s="1" t="s">
        <v>178</v>
      </c>
      <c r="C622" s="1" t="s">
        <v>542</v>
      </c>
      <c r="D622" s="1" t="s">
        <v>609</v>
      </c>
      <c r="E622" s="1" t="s">
        <v>612</v>
      </c>
      <c r="F622" s="1" t="s">
        <v>613</v>
      </c>
      <c r="G622" s="1" t="s">
        <v>173</v>
      </c>
    </row>
    <row r="623" spans="1:7" x14ac:dyDescent="0.25">
      <c r="A623" s="1">
        <v>37532</v>
      </c>
      <c r="B623" s="1" t="s">
        <v>178</v>
      </c>
      <c r="C623" s="1" t="s">
        <v>542</v>
      </c>
      <c r="D623" s="1" t="s">
        <v>609</v>
      </c>
      <c r="E623" s="1" t="s">
        <v>612</v>
      </c>
      <c r="F623" s="1" t="s">
        <v>614</v>
      </c>
      <c r="G623" s="1" t="s">
        <v>173</v>
      </c>
    </row>
    <row r="624" spans="1:7" x14ac:dyDescent="0.25">
      <c r="A624" s="1">
        <v>37528</v>
      </c>
      <c r="B624" s="1" t="s">
        <v>178</v>
      </c>
      <c r="C624" s="1" t="s">
        <v>542</v>
      </c>
      <c r="D624" s="1" t="s">
        <v>609</v>
      </c>
      <c r="E624" s="1" t="s">
        <v>615</v>
      </c>
      <c r="F624" s="1" t="s">
        <v>616</v>
      </c>
      <c r="G624" s="1" t="s">
        <v>173</v>
      </c>
    </row>
    <row r="625" spans="1:7" x14ac:dyDescent="0.25">
      <c r="A625" s="1">
        <v>37529</v>
      </c>
      <c r="B625" s="1" t="s">
        <v>178</v>
      </c>
      <c r="C625" s="1" t="s">
        <v>542</v>
      </c>
      <c r="D625" s="1" t="s">
        <v>609</v>
      </c>
      <c r="E625" s="1" t="s">
        <v>615</v>
      </c>
      <c r="F625" s="1" t="s">
        <v>617</v>
      </c>
      <c r="G625" s="1" t="s">
        <v>173</v>
      </c>
    </row>
    <row r="626" spans="1:7" x14ac:dyDescent="0.25">
      <c r="A626" s="1">
        <v>37517</v>
      </c>
      <c r="B626" s="1" t="s">
        <v>178</v>
      </c>
      <c r="C626" s="1" t="s">
        <v>542</v>
      </c>
      <c r="D626" s="1" t="s">
        <v>609</v>
      </c>
      <c r="E626" s="1" t="s">
        <v>618</v>
      </c>
      <c r="F626" s="1" t="s">
        <v>619</v>
      </c>
      <c r="G626" s="1" t="s">
        <v>173</v>
      </c>
    </row>
    <row r="627" spans="1:7" x14ac:dyDescent="0.25">
      <c r="A627" s="1">
        <v>37518</v>
      </c>
      <c r="B627" s="1" t="s">
        <v>178</v>
      </c>
      <c r="C627" s="1" t="s">
        <v>542</v>
      </c>
      <c r="D627" s="1" t="s">
        <v>609</v>
      </c>
      <c r="E627" s="1" t="s">
        <v>618</v>
      </c>
      <c r="F627" s="1" t="s">
        <v>620</v>
      </c>
      <c r="G627" s="1" t="s">
        <v>173</v>
      </c>
    </row>
    <row r="628" spans="1:7" x14ac:dyDescent="0.25">
      <c r="A628" s="1">
        <v>37519</v>
      </c>
      <c r="B628" s="1" t="s">
        <v>178</v>
      </c>
      <c r="C628" s="1" t="s">
        <v>542</v>
      </c>
      <c r="D628" s="1" t="s">
        <v>609</v>
      </c>
      <c r="E628" s="1" t="s">
        <v>618</v>
      </c>
      <c r="F628" s="1" t="s">
        <v>621</v>
      </c>
      <c r="G628" s="1" t="s">
        <v>173</v>
      </c>
    </row>
    <row r="629" spans="1:7" x14ac:dyDescent="0.25">
      <c r="A629" s="1">
        <v>37520</v>
      </c>
      <c r="B629" s="1" t="s">
        <v>178</v>
      </c>
      <c r="C629" s="1" t="s">
        <v>542</v>
      </c>
      <c r="D629" s="1" t="s">
        <v>609</v>
      </c>
      <c r="E629" s="1" t="s">
        <v>618</v>
      </c>
      <c r="F629" s="1" t="s">
        <v>622</v>
      </c>
      <c r="G629" s="1" t="s">
        <v>173</v>
      </c>
    </row>
    <row r="630" spans="1:7" x14ac:dyDescent="0.25">
      <c r="A630" s="1">
        <v>37525</v>
      </c>
      <c r="B630" s="1" t="s">
        <v>178</v>
      </c>
      <c r="C630" s="1" t="s">
        <v>542</v>
      </c>
      <c r="D630" s="1" t="s">
        <v>609</v>
      </c>
      <c r="E630" s="1" t="s">
        <v>623</v>
      </c>
      <c r="F630" s="1" t="s">
        <v>624</v>
      </c>
      <c r="G630" s="1" t="s">
        <v>173</v>
      </c>
    </row>
    <row r="631" spans="1:7" x14ac:dyDescent="0.25">
      <c r="A631" s="1">
        <v>37526</v>
      </c>
      <c r="B631" s="1" t="s">
        <v>178</v>
      </c>
      <c r="C631" s="1" t="s">
        <v>542</v>
      </c>
      <c r="D631" s="1" t="s">
        <v>609</v>
      </c>
      <c r="E631" s="1" t="s">
        <v>623</v>
      </c>
      <c r="F631" s="1" t="s">
        <v>625</v>
      </c>
      <c r="G631" s="1" t="s">
        <v>173</v>
      </c>
    </row>
    <row r="632" spans="1:7" x14ac:dyDescent="0.25">
      <c r="A632" s="1">
        <v>37522</v>
      </c>
      <c r="B632" s="1" t="s">
        <v>178</v>
      </c>
      <c r="C632" s="1" t="s">
        <v>542</v>
      </c>
      <c r="D632" s="1" t="s">
        <v>609</v>
      </c>
      <c r="E632" s="1" t="s">
        <v>626</v>
      </c>
      <c r="F632" s="1" t="s">
        <v>627</v>
      </c>
      <c r="G632" s="1" t="s">
        <v>173</v>
      </c>
    </row>
    <row r="633" spans="1:7" x14ac:dyDescent="0.25">
      <c r="A633" s="1">
        <v>37523</v>
      </c>
      <c r="B633" s="1" t="s">
        <v>178</v>
      </c>
      <c r="C633" s="1" t="s">
        <v>542</v>
      </c>
      <c r="D633" s="1" t="s">
        <v>609</v>
      </c>
      <c r="E633" s="1" t="s">
        <v>626</v>
      </c>
      <c r="F633" s="1" t="s">
        <v>628</v>
      </c>
      <c r="G633" s="1" t="s">
        <v>173</v>
      </c>
    </row>
    <row r="634" spans="1:7" x14ac:dyDescent="0.25">
      <c r="A634" s="1">
        <v>44477</v>
      </c>
      <c r="B634" s="1" t="s">
        <v>178</v>
      </c>
      <c r="C634" s="1" t="s">
        <v>542</v>
      </c>
      <c r="D634" s="1" t="s">
        <v>609</v>
      </c>
      <c r="E634" s="1" t="s">
        <v>629</v>
      </c>
      <c r="F634" s="1" t="s">
        <v>630</v>
      </c>
      <c r="G634" s="1" t="s">
        <v>173</v>
      </c>
    </row>
    <row r="635" spans="1:7" x14ac:dyDescent="0.25">
      <c r="A635" s="1">
        <v>37515</v>
      </c>
      <c r="B635" s="1" t="s">
        <v>178</v>
      </c>
      <c r="C635" s="1" t="s">
        <v>542</v>
      </c>
      <c r="D635" s="1" t="s">
        <v>609</v>
      </c>
      <c r="E635" s="1" t="s">
        <v>629</v>
      </c>
      <c r="F635" s="1" t="s">
        <v>631</v>
      </c>
      <c r="G635" s="1" t="s">
        <v>173</v>
      </c>
    </row>
    <row r="636" spans="1:7" x14ac:dyDescent="0.25">
      <c r="A636" s="1">
        <v>37512</v>
      </c>
      <c r="B636" s="1" t="s">
        <v>178</v>
      </c>
      <c r="C636" s="1" t="s">
        <v>542</v>
      </c>
      <c r="D636" s="1" t="s">
        <v>609</v>
      </c>
      <c r="E636" s="1" t="s">
        <v>632</v>
      </c>
      <c r="F636" s="1" t="s">
        <v>633</v>
      </c>
      <c r="G636" s="1" t="s">
        <v>173</v>
      </c>
    </row>
    <row r="637" spans="1:7" x14ac:dyDescent="0.25">
      <c r="A637" s="1">
        <v>37513</v>
      </c>
      <c r="B637" s="1" t="s">
        <v>178</v>
      </c>
      <c r="C637" s="1" t="s">
        <v>542</v>
      </c>
      <c r="D637" s="1" t="s">
        <v>609</v>
      </c>
      <c r="E637" s="1" t="s">
        <v>632</v>
      </c>
      <c r="F637" s="1" t="s">
        <v>634</v>
      </c>
      <c r="G637" s="1" t="s">
        <v>173</v>
      </c>
    </row>
    <row r="638" spans="1:7" x14ac:dyDescent="0.25">
      <c r="A638" s="1">
        <v>37540</v>
      </c>
      <c r="B638" s="1" t="s">
        <v>178</v>
      </c>
      <c r="C638" s="1" t="s">
        <v>542</v>
      </c>
      <c r="D638" s="1" t="s">
        <v>367</v>
      </c>
      <c r="E638" s="1" t="s">
        <v>635</v>
      </c>
      <c r="F638" s="1" t="s">
        <v>636</v>
      </c>
      <c r="G638" s="1" t="s">
        <v>173</v>
      </c>
    </row>
    <row r="639" spans="1:7" x14ac:dyDescent="0.25">
      <c r="A639" s="1">
        <v>37541</v>
      </c>
      <c r="B639" s="1" t="s">
        <v>178</v>
      </c>
      <c r="C639" s="1" t="s">
        <v>542</v>
      </c>
      <c r="D639" s="1" t="s">
        <v>367</v>
      </c>
      <c r="E639" s="1" t="s">
        <v>635</v>
      </c>
      <c r="F639" s="1" t="s">
        <v>637</v>
      </c>
      <c r="G639" s="1" t="s">
        <v>173</v>
      </c>
    </row>
    <row r="640" spans="1:7" x14ac:dyDescent="0.25">
      <c r="A640" s="1">
        <v>37537</v>
      </c>
      <c r="B640" s="1" t="s">
        <v>178</v>
      </c>
      <c r="C640" s="1" t="s">
        <v>542</v>
      </c>
      <c r="D640" s="1" t="s">
        <v>367</v>
      </c>
      <c r="E640" s="1" t="s">
        <v>638</v>
      </c>
      <c r="F640" s="1" t="s">
        <v>369</v>
      </c>
      <c r="G640" s="1" t="s">
        <v>173</v>
      </c>
    </row>
    <row r="641" spans="1:7" x14ac:dyDescent="0.25">
      <c r="A641" s="1">
        <v>37538</v>
      </c>
      <c r="B641" s="1" t="s">
        <v>178</v>
      </c>
      <c r="C641" s="1" t="s">
        <v>542</v>
      </c>
      <c r="D641" s="1" t="s">
        <v>367</v>
      </c>
      <c r="E641" s="1" t="s">
        <v>638</v>
      </c>
      <c r="F641" s="1" t="s">
        <v>370</v>
      </c>
      <c r="G641" s="1" t="s">
        <v>173</v>
      </c>
    </row>
    <row r="642" spans="1:7" x14ac:dyDescent="0.25">
      <c r="A642" s="1">
        <v>37544</v>
      </c>
      <c r="B642" s="1" t="s">
        <v>178</v>
      </c>
      <c r="C642" s="1" t="s">
        <v>542</v>
      </c>
      <c r="D642" s="1" t="s">
        <v>403</v>
      </c>
      <c r="E642" s="1" t="s">
        <v>639</v>
      </c>
      <c r="F642" s="1" t="s">
        <v>640</v>
      </c>
      <c r="G642" s="1" t="s">
        <v>173</v>
      </c>
    </row>
    <row r="643" spans="1:7" x14ac:dyDescent="0.25">
      <c r="A643" s="1">
        <v>59432</v>
      </c>
      <c r="B643" s="1" t="s">
        <v>178</v>
      </c>
      <c r="C643" s="1" t="s">
        <v>542</v>
      </c>
      <c r="D643" s="1" t="s">
        <v>403</v>
      </c>
      <c r="E643" s="1" t="s">
        <v>641</v>
      </c>
      <c r="F643" s="1" t="s">
        <v>642</v>
      </c>
      <c r="G643" s="1" t="s">
        <v>173</v>
      </c>
    </row>
    <row r="644" spans="1:7" x14ac:dyDescent="0.25">
      <c r="A644" s="1">
        <v>59433</v>
      </c>
      <c r="B644" s="1" t="s">
        <v>178</v>
      </c>
      <c r="C644" s="1" t="s">
        <v>542</v>
      </c>
      <c r="D644" s="1" t="s">
        <v>403</v>
      </c>
      <c r="E644" s="1" t="s">
        <v>641</v>
      </c>
      <c r="F644" s="1" t="s">
        <v>643</v>
      </c>
      <c r="G644" s="1" t="s">
        <v>173</v>
      </c>
    </row>
    <row r="645" spans="1:7" x14ac:dyDescent="0.25">
      <c r="A645" s="1">
        <v>37547</v>
      </c>
      <c r="B645" s="1" t="s">
        <v>178</v>
      </c>
      <c r="C645" s="1" t="s">
        <v>542</v>
      </c>
      <c r="D645" s="1" t="s">
        <v>412</v>
      </c>
      <c r="E645" s="1" t="s">
        <v>644</v>
      </c>
      <c r="F645" s="1" t="s">
        <v>645</v>
      </c>
      <c r="G645" s="1" t="s">
        <v>173</v>
      </c>
    </row>
    <row r="646" spans="1:7" x14ac:dyDescent="0.25">
      <c r="A646" s="1">
        <v>37548</v>
      </c>
      <c r="B646" s="1" t="s">
        <v>178</v>
      </c>
      <c r="C646" s="1" t="s">
        <v>542</v>
      </c>
      <c r="D646" s="1" t="s">
        <v>412</v>
      </c>
      <c r="E646" s="1" t="s">
        <v>644</v>
      </c>
      <c r="F646" s="1" t="s">
        <v>646</v>
      </c>
      <c r="G646" s="1" t="s">
        <v>173</v>
      </c>
    </row>
    <row r="647" spans="1:7" x14ac:dyDescent="0.25">
      <c r="A647" s="1">
        <v>37549</v>
      </c>
      <c r="B647" s="1" t="s">
        <v>178</v>
      </c>
      <c r="C647" s="1" t="s">
        <v>542</v>
      </c>
      <c r="D647" s="1" t="s">
        <v>412</v>
      </c>
      <c r="E647" s="1" t="s">
        <v>644</v>
      </c>
      <c r="F647" s="1" t="s">
        <v>647</v>
      </c>
      <c r="G647" s="1" t="s">
        <v>173</v>
      </c>
    </row>
    <row r="648" spans="1:7" x14ac:dyDescent="0.25">
      <c r="A648" s="1">
        <v>59435</v>
      </c>
      <c r="B648" s="1" t="s">
        <v>178</v>
      </c>
      <c r="C648" s="1" t="s">
        <v>542</v>
      </c>
      <c r="D648" s="1" t="s">
        <v>412</v>
      </c>
      <c r="E648" s="1" t="s">
        <v>648</v>
      </c>
      <c r="F648" s="1" t="s">
        <v>649</v>
      </c>
      <c r="G648" s="1" t="s">
        <v>173</v>
      </c>
    </row>
    <row r="649" spans="1:7" x14ac:dyDescent="0.25">
      <c r="A649" s="1">
        <v>59436</v>
      </c>
      <c r="B649" s="1" t="s">
        <v>178</v>
      </c>
      <c r="C649" s="1" t="s">
        <v>542</v>
      </c>
      <c r="D649" s="1" t="s">
        <v>412</v>
      </c>
      <c r="E649" s="1" t="s">
        <v>648</v>
      </c>
      <c r="F649" s="1" t="s">
        <v>650</v>
      </c>
      <c r="G649" s="1" t="s">
        <v>173</v>
      </c>
    </row>
    <row r="650" spans="1:7" x14ac:dyDescent="0.25">
      <c r="A650" s="1">
        <v>37551</v>
      </c>
      <c r="B650" s="1" t="s">
        <v>178</v>
      </c>
      <c r="C650" s="1" t="s">
        <v>542</v>
      </c>
      <c r="D650" s="1" t="s">
        <v>412</v>
      </c>
      <c r="E650" s="1" t="s">
        <v>651</v>
      </c>
      <c r="F650" s="1" t="s">
        <v>652</v>
      </c>
      <c r="G650" s="1" t="s">
        <v>173</v>
      </c>
    </row>
    <row r="651" spans="1:7" x14ac:dyDescent="0.25">
      <c r="A651" s="1">
        <v>37552</v>
      </c>
      <c r="B651" s="1" t="s">
        <v>178</v>
      </c>
      <c r="C651" s="1" t="s">
        <v>542</v>
      </c>
      <c r="D651" s="1" t="s">
        <v>412</v>
      </c>
      <c r="E651" s="1" t="s">
        <v>651</v>
      </c>
      <c r="F651" s="1" t="s">
        <v>653</v>
      </c>
      <c r="G651" s="1" t="s">
        <v>173</v>
      </c>
    </row>
    <row r="652" spans="1:7" x14ac:dyDescent="0.25">
      <c r="A652" s="1">
        <v>37553</v>
      </c>
      <c r="B652" s="1" t="s">
        <v>178</v>
      </c>
      <c r="C652" s="1" t="s">
        <v>542</v>
      </c>
      <c r="D652" s="1" t="s">
        <v>412</v>
      </c>
      <c r="E652" s="1" t="s">
        <v>651</v>
      </c>
      <c r="F652" s="1" t="s">
        <v>654</v>
      </c>
      <c r="G652" s="1" t="s">
        <v>173</v>
      </c>
    </row>
    <row r="653" spans="1:7" x14ac:dyDescent="0.25">
      <c r="A653" s="1">
        <v>59438</v>
      </c>
      <c r="B653" s="1" t="s">
        <v>178</v>
      </c>
      <c r="C653" s="1" t="s">
        <v>542</v>
      </c>
      <c r="D653" s="1" t="s">
        <v>412</v>
      </c>
      <c r="E653" s="1" t="s">
        <v>655</v>
      </c>
      <c r="F653" s="1" t="s">
        <v>656</v>
      </c>
      <c r="G653" s="1" t="s">
        <v>173</v>
      </c>
    </row>
    <row r="654" spans="1:7" x14ac:dyDescent="0.25">
      <c r="A654" s="1">
        <v>37560</v>
      </c>
      <c r="B654" s="1" t="s">
        <v>178</v>
      </c>
      <c r="C654" s="1" t="s">
        <v>542</v>
      </c>
      <c r="D654" s="1" t="s">
        <v>657</v>
      </c>
      <c r="E654" s="1" t="s">
        <v>658</v>
      </c>
      <c r="F654" s="1" t="s">
        <v>659</v>
      </c>
      <c r="G654" s="1" t="s">
        <v>173</v>
      </c>
    </row>
    <row r="655" spans="1:7" x14ac:dyDescent="0.25">
      <c r="A655" s="1">
        <v>37556</v>
      </c>
      <c r="B655" s="1" t="s">
        <v>178</v>
      </c>
      <c r="C655" s="1" t="s">
        <v>542</v>
      </c>
      <c r="D655" s="1" t="s">
        <v>657</v>
      </c>
      <c r="E655" s="1" t="s">
        <v>658</v>
      </c>
      <c r="F655" s="1" t="s">
        <v>660</v>
      </c>
      <c r="G655" s="1" t="s">
        <v>173</v>
      </c>
    </row>
    <row r="656" spans="1:7" x14ac:dyDescent="0.25">
      <c r="A656" s="1">
        <v>37558</v>
      </c>
      <c r="B656" s="1" t="s">
        <v>178</v>
      </c>
      <c r="C656" s="1" t="s">
        <v>542</v>
      </c>
      <c r="D656" s="1" t="s">
        <v>657</v>
      </c>
      <c r="E656" s="1" t="s">
        <v>658</v>
      </c>
      <c r="F656" s="1" t="s">
        <v>661</v>
      </c>
      <c r="G656" s="1" t="s">
        <v>173</v>
      </c>
    </row>
    <row r="657" spans="1:7" x14ac:dyDescent="0.25">
      <c r="A657" s="1">
        <v>37557</v>
      </c>
      <c r="B657" s="1" t="s">
        <v>178</v>
      </c>
      <c r="C657" s="1" t="s">
        <v>542</v>
      </c>
      <c r="D657" s="1" t="s">
        <v>657</v>
      </c>
      <c r="E657" s="1" t="s">
        <v>658</v>
      </c>
      <c r="F657" s="1" t="s">
        <v>662</v>
      </c>
      <c r="G657" s="1" t="s">
        <v>173</v>
      </c>
    </row>
    <row r="658" spans="1:7" x14ac:dyDescent="0.25">
      <c r="A658" s="1">
        <v>37559</v>
      </c>
      <c r="B658" s="1" t="s">
        <v>178</v>
      </c>
      <c r="C658" s="1" t="s">
        <v>542</v>
      </c>
      <c r="D658" s="1" t="s">
        <v>657</v>
      </c>
      <c r="E658" s="1" t="s">
        <v>658</v>
      </c>
      <c r="F658" s="1" t="s">
        <v>663</v>
      </c>
      <c r="G658" s="1" t="s">
        <v>173</v>
      </c>
    </row>
  </sheetData>
  <autoFilter ref="A1:G658" xr:uid="{3DB36BB8-EA5D-4A0B-B668-637B12E4FCE6}"/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D5A1A-F488-44B0-889A-A13F098B6F88}">
  <sheetPr codeName="Planilha4">
    <tabColor rgb="FFFF0000"/>
  </sheetPr>
  <dimension ref="A1:H9"/>
  <sheetViews>
    <sheetView workbookViewId="0">
      <selection activeCell="J18" sqref="J18"/>
    </sheetView>
  </sheetViews>
  <sheetFormatPr defaultRowHeight="15" x14ac:dyDescent="0.25"/>
  <cols>
    <col min="6" max="6" width="11.28515625" bestFit="1" customWidth="1"/>
    <col min="7" max="7" width="17.28515625" bestFit="1" customWidth="1"/>
    <col min="8" max="8" width="7.28515625" bestFit="1" customWidth="1"/>
  </cols>
  <sheetData>
    <row r="1" spans="1:8" x14ac:dyDescent="0.25">
      <c r="A1" s="2" t="s">
        <v>664</v>
      </c>
      <c r="F1" s="1" t="s">
        <v>56</v>
      </c>
      <c r="G1" s="1" t="s">
        <v>665</v>
      </c>
      <c r="H1" s="1" t="s">
        <v>666</v>
      </c>
    </row>
    <row r="2" spans="1:8" x14ac:dyDescent="0.25">
      <c r="A2" s="2" t="s">
        <v>667</v>
      </c>
      <c r="F2" s="1" t="s">
        <v>668</v>
      </c>
      <c r="G2" s="22">
        <v>42872</v>
      </c>
      <c r="H2" s="1">
        <v>301092</v>
      </c>
    </row>
    <row r="3" spans="1:8" x14ac:dyDescent="0.25">
      <c r="F3" s="1" t="s">
        <v>669</v>
      </c>
      <c r="G3" s="22">
        <v>43497</v>
      </c>
      <c r="H3" s="1">
        <v>301093</v>
      </c>
    </row>
    <row r="4" spans="1:8" x14ac:dyDescent="0.25">
      <c r="F4" s="1" t="s">
        <v>670</v>
      </c>
      <c r="G4" s="22">
        <v>43783</v>
      </c>
      <c r="H4" s="1">
        <v>301094</v>
      </c>
    </row>
    <row r="5" spans="1:8" x14ac:dyDescent="0.25">
      <c r="F5" s="1" t="s">
        <v>671</v>
      </c>
      <c r="G5" s="22">
        <v>43396</v>
      </c>
      <c r="H5" s="1">
        <v>301095</v>
      </c>
    </row>
    <row r="6" spans="1:8" x14ac:dyDescent="0.25">
      <c r="F6" s="1" t="s">
        <v>57</v>
      </c>
      <c r="G6" s="22">
        <v>44916</v>
      </c>
      <c r="H6" s="1">
        <v>301097</v>
      </c>
    </row>
    <row r="7" spans="1:8" x14ac:dyDescent="0.25">
      <c r="F7" s="1" t="s">
        <v>672</v>
      </c>
      <c r="G7" s="22">
        <v>44007</v>
      </c>
      <c r="H7" s="1">
        <v>301096</v>
      </c>
    </row>
    <row r="8" spans="1:8" x14ac:dyDescent="0.25">
      <c r="F8" s="1" t="s">
        <v>673</v>
      </c>
      <c r="G8" s="22">
        <v>40652</v>
      </c>
      <c r="H8" s="1" t="s">
        <v>674</v>
      </c>
    </row>
    <row r="9" spans="1:8" x14ac:dyDescent="0.25">
      <c r="F9" s="1" t="s">
        <v>675</v>
      </c>
      <c r="G9" s="22">
        <v>40652</v>
      </c>
      <c r="H9" s="1">
        <v>371001</v>
      </c>
    </row>
  </sheetData>
  <hyperlinks>
    <hyperlink ref="A1" r:id="rId1" xr:uid="{6FFDF17E-81BD-4BA3-9367-F78E65BE40F8}"/>
    <hyperlink ref="A2" r:id="rId2" xr:uid="{530EEF23-DF20-403C-83E5-FEF99C43DC79}"/>
  </hyperlink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A3321-9FD5-42D8-88D0-52B10FC5C4A2}">
  <sheetPr codeName="Planilha6">
    <tabColor rgb="FFFF0000"/>
  </sheetPr>
  <dimension ref="A1:T96"/>
  <sheetViews>
    <sheetView topLeftCell="C1" zoomScale="85" zoomScaleNormal="85" workbookViewId="0">
      <selection activeCell="F2" sqref="F2"/>
    </sheetView>
  </sheetViews>
  <sheetFormatPr defaultRowHeight="15" x14ac:dyDescent="0.25"/>
  <cols>
    <col min="1" max="1" width="3.42578125" bestFit="1" customWidth="1"/>
    <col min="2" max="2" width="18.42578125" bestFit="1" customWidth="1"/>
    <col min="3" max="3" width="25" bestFit="1" customWidth="1"/>
    <col min="4" max="4" width="84.85546875" bestFit="1" customWidth="1"/>
    <col min="5" max="5" width="20.140625" bestFit="1" customWidth="1"/>
    <col min="6" max="6" width="84.85546875" bestFit="1" customWidth="1"/>
    <col min="7" max="7" width="47" bestFit="1" customWidth="1"/>
    <col min="8" max="8" width="40.42578125" bestFit="1" customWidth="1"/>
    <col min="9" max="9" width="38" bestFit="1" customWidth="1"/>
    <col min="10" max="10" width="33.28515625" bestFit="1" customWidth="1"/>
    <col min="12" max="12" width="11" bestFit="1" customWidth="1"/>
    <col min="13" max="13" width="16.42578125" bestFit="1" customWidth="1"/>
    <col min="14" max="14" width="17" bestFit="1" customWidth="1"/>
    <col min="15" max="15" width="9.140625" bestFit="1" customWidth="1"/>
    <col min="16" max="16" width="11.5703125" bestFit="1" customWidth="1"/>
    <col min="17" max="17" width="8.42578125" bestFit="1" customWidth="1"/>
    <col min="18" max="18" width="10.28515625" bestFit="1" customWidth="1"/>
    <col min="20" max="20" width="58.5703125" bestFit="1" customWidth="1"/>
  </cols>
  <sheetData>
    <row r="1" spans="1:20" x14ac:dyDescent="0.25">
      <c r="A1" s="7" t="s">
        <v>116</v>
      </c>
      <c r="B1" s="7" t="s">
        <v>176</v>
      </c>
      <c r="C1" s="12" t="s">
        <v>69</v>
      </c>
      <c r="D1" s="13" t="s">
        <v>676</v>
      </c>
      <c r="E1" s="13" t="s">
        <v>677</v>
      </c>
      <c r="F1" s="13" t="s">
        <v>678</v>
      </c>
      <c r="G1" s="13" t="s">
        <v>150</v>
      </c>
      <c r="H1" s="13" t="s">
        <v>679</v>
      </c>
      <c r="I1" s="13" t="s">
        <v>151</v>
      </c>
      <c r="J1" s="13" t="s">
        <v>680</v>
      </c>
      <c r="K1" s="14"/>
      <c r="L1" s="7" t="s">
        <v>56</v>
      </c>
      <c r="M1" s="7" t="s">
        <v>681</v>
      </c>
      <c r="N1" s="7" t="s">
        <v>682</v>
      </c>
      <c r="O1" s="7" t="s">
        <v>683</v>
      </c>
      <c r="P1" s="7" t="s">
        <v>684</v>
      </c>
      <c r="Q1" s="7" t="s">
        <v>685</v>
      </c>
      <c r="R1" s="7" t="s">
        <v>686</v>
      </c>
      <c r="T1" s="13"/>
    </row>
    <row r="2" spans="1:20" x14ac:dyDescent="0.25">
      <c r="A2" s="5">
        <v>1</v>
      </c>
      <c r="B2" s="5" t="s">
        <v>687</v>
      </c>
      <c r="C2" s="5" t="s">
        <v>688</v>
      </c>
      <c r="D2" s="8" t="s">
        <v>689</v>
      </c>
      <c r="E2" s="8" t="s">
        <v>690</v>
      </c>
      <c r="F2" s="8" t="s">
        <v>691</v>
      </c>
      <c r="G2" s="8" t="s">
        <v>692</v>
      </c>
      <c r="H2" s="8" t="s">
        <v>693</v>
      </c>
      <c r="I2" s="8" t="s">
        <v>694</v>
      </c>
      <c r="J2" s="8" t="s">
        <v>695</v>
      </c>
      <c r="K2" s="10"/>
      <c r="L2" s="6" t="s">
        <v>670</v>
      </c>
      <c r="M2" s="6">
        <v>4130</v>
      </c>
      <c r="N2" s="6" t="s">
        <v>696</v>
      </c>
      <c r="O2" s="6" t="s">
        <v>697</v>
      </c>
      <c r="P2" s="6">
        <v>2442</v>
      </c>
      <c r="Q2" s="6">
        <v>301094</v>
      </c>
      <c r="R2" s="6" t="s">
        <v>698</v>
      </c>
      <c r="T2" s="9" t="s">
        <v>691</v>
      </c>
    </row>
    <row r="3" spans="1:20" x14ac:dyDescent="0.25">
      <c r="A3" s="1">
        <v>2</v>
      </c>
      <c r="B3" s="1" t="s">
        <v>699</v>
      </c>
      <c r="C3" s="1" t="s">
        <v>700</v>
      </c>
      <c r="D3" s="9" t="s">
        <v>701</v>
      </c>
      <c r="E3" s="9" t="s">
        <v>702</v>
      </c>
      <c r="F3" s="9" t="s">
        <v>703</v>
      </c>
      <c r="G3" s="9" t="s">
        <v>704</v>
      </c>
      <c r="H3" s="9" t="s">
        <v>705</v>
      </c>
      <c r="I3" s="9" t="s">
        <v>706</v>
      </c>
      <c r="J3" s="9" t="s">
        <v>707</v>
      </c>
      <c r="K3" s="11"/>
      <c r="L3" s="4" t="s">
        <v>672</v>
      </c>
      <c r="M3" s="4">
        <v>4128</v>
      </c>
      <c r="N3" s="4" t="s">
        <v>708</v>
      </c>
      <c r="O3" s="4" t="s">
        <v>709</v>
      </c>
      <c r="P3" s="4">
        <v>2442</v>
      </c>
      <c r="Q3" s="4">
        <v>301096</v>
      </c>
      <c r="R3" s="4" t="s">
        <v>710</v>
      </c>
      <c r="T3" s="8" t="s">
        <v>703</v>
      </c>
    </row>
    <row r="4" spans="1:20" x14ac:dyDescent="0.25">
      <c r="A4" s="5">
        <v>3</v>
      </c>
      <c r="B4" s="5" t="s">
        <v>711</v>
      </c>
      <c r="C4" s="5" t="s">
        <v>712</v>
      </c>
      <c r="D4" s="8" t="s">
        <v>713</v>
      </c>
      <c r="E4" s="8" t="s">
        <v>714</v>
      </c>
      <c r="F4" s="8" t="s">
        <v>715</v>
      </c>
      <c r="G4" s="8" t="s">
        <v>716</v>
      </c>
      <c r="H4" s="8" t="s">
        <v>717</v>
      </c>
      <c r="I4" s="8" t="s">
        <v>718</v>
      </c>
      <c r="J4" s="8" t="s">
        <v>719</v>
      </c>
      <c r="K4" s="10"/>
      <c r="L4" s="6" t="s">
        <v>57</v>
      </c>
      <c r="M4" s="6">
        <v>2413</v>
      </c>
      <c r="N4" s="6" t="s">
        <v>720</v>
      </c>
      <c r="O4" s="6" t="s">
        <v>721</v>
      </c>
      <c r="P4" s="6">
        <v>2471</v>
      </c>
      <c r="Q4" s="6">
        <v>301097</v>
      </c>
      <c r="R4" s="6" t="s">
        <v>722</v>
      </c>
      <c r="T4" s="9" t="s">
        <v>715</v>
      </c>
    </row>
    <row r="5" spans="1:20" x14ac:dyDescent="0.25">
      <c r="A5" s="1">
        <v>4</v>
      </c>
      <c r="B5" s="1" t="s">
        <v>723</v>
      </c>
      <c r="C5" s="1" t="s">
        <v>724</v>
      </c>
      <c r="D5" s="9" t="s">
        <v>725</v>
      </c>
      <c r="E5" s="9" t="s">
        <v>726</v>
      </c>
      <c r="F5" s="9" t="s">
        <v>727</v>
      </c>
      <c r="G5" s="9" t="s">
        <v>728</v>
      </c>
      <c r="H5" s="9" t="s">
        <v>729</v>
      </c>
      <c r="I5" s="9" t="s">
        <v>730</v>
      </c>
      <c r="J5" s="9" t="s">
        <v>731</v>
      </c>
      <c r="K5" s="11"/>
      <c r="L5" s="4" t="s">
        <v>675</v>
      </c>
      <c r="M5" s="4">
        <v>2413</v>
      </c>
      <c r="N5" s="4">
        <v>2418</v>
      </c>
      <c r="O5" s="4"/>
      <c r="P5" s="4">
        <v>2410</v>
      </c>
      <c r="Q5" s="4">
        <v>371001</v>
      </c>
      <c r="R5" s="4" t="s">
        <v>732</v>
      </c>
      <c r="T5" s="8" t="s">
        <v>727</v>
      </c>
    </row>
    <row r="6" spans="1:20" x14ac:dyDescent="0.25">
      <c r="A6" s="1">
        <v>5</v>
      </c>
      <c r="B6" s="5" t="s">
        <v>733</v>
      </c>
      <c r="C6" s="5" t="s">
        <v>734</v>
      </c>
      <c r="D6" s="8" t="s">
        <v>735</v>
      </c>
      <c r="E6" s="8" t="s">
        <v>736</v>
      </c>
      <c r="F6" s="8" t="s">
        <v>737</v>
      </c>
      <c r="G6" s="8" t="s">
        <v>738</v>
      </c>
      <c r="H6" s="8" t="s">
        <v>739</v>
      </c>
      <c r="I6" s="8" t="s">
        <v>740</v>
      </c>
      <c r="J6" s="8" t="s">
        <v>741</v>
      </c>
      <c r="K6" s="10"/>
      <c r="L6" s="6" t="s">
        <v>673</v>
      </c>
      <c r="M6" s="6">
        <v>2413</v>
      </c>
      <c r="N6" s="6">
        <v>2429</v>
      </c>
      <c r="O6" s="6" t="s">
        <v>742</v>
      </c>
      <c r="P6" s="6">
        <v>2410</v>
      </c>
      <c r="Q6" s="6" t="s">
        <v>743</v>
      </c>
      <c r="R6" s="6" t="s">
        <v>744</v>
      </c>
      <c r="T6" s="9" t="s">
        <v>737</v>
      </c>
    </row>
    <row r="7" spans="1:20" x14ac:dyDescent="0.25">
      <c r="A7" s="1">
        <v>6</v>
      </c>
      <c r="B7" s="1" t="s">
        <v>745</v>
      </c>
      <c r="C7" s="1" t="s">
        <v>746</v>
      </c>
      <c r="D7" s="9" t="s">
        <v>747</v>
      </c>
      <c r="E7" s="9" t="s">
        <v>748</v>
      </c>
      <c r="F7" s="9" t="s">
        <v>749</v>
      </c>
      <c r="G7" s="9"/>
      <c r="H7" s="9" t="s">
        <v>750</v>
      </c>
      <c r="I7" s="9" t="s">
        <v>751</v>
      </c>
      <c r="J7" s="9" t="s">
        <v>752</v>
      </c>
      <c r="K7" s="11"/>
      <c r="L7" s="1"/>
      <c r="M7" s="1"/>
      <c r="N7" s="1"/>
      <c r="O7" s="1"/>
      <c r="P7" s="1"/>
      <c r="Q7" s="1"/>
      <c r="R7" s="1"/>
      <c r="T7" s="8" t="s">
        <v>749</v>
      </c>
    </row>
    <row r="8" spans="1:20" x14ac:dyDescent="0.25">
      <c r="A8" s="5">
        <v>7</v>
      </c>
      <c r="B8" s="5" t="s">
        <v>753</v>
      </c>
      <c r="C8" s="5" t="s">
        <v>754</v>
      </c>
      <c r="D8" s="8" t="s">
        <v>755</v>
      </c>
      <c r="E8" s="8"/>
      <c r="F8" s="8" t="s">
        <v>756</v>
      </c>
      <c r="G8" s="8"/>
      <c r="H8" s="8" t="s">
        <v>757</v>
      </c>
      <c r="I8" s="8" t="s">
        <v>758</v>
      </c>
      <c r="J8" s="8" t="s">
        <v>759</v>
      </c>
      <c r="K8" s="10"/>
      <c r="L8" s="5"/>
      <c r="M8" s="5"/>
      <c r="N8" s="5"/>
      <c r="O8" s="5"/>
      <c r="P8" s="5"/>
      <c r="Q8" s="5"/>
      <c r="R8" s="5"/>
      <c r="T8" s="9" t="s">
        <v>756</v>
      </c>
    </row>
    <row r="9" spans="1:20" x14ac:dyDescent="0.25">
      <c r="A9" s="1">
        <v>8</v>
      </c>
      <c r="B9" s="1"/>
      <c r="C9" s="1" t="s">
        <v>760</v>
      </c>
      <c r="D9" s="9" t="s">
        <v>761</v>
      </c>
      <c r="E9" s="9"/>
      <c r="F9" s="9" t="s">
        <v>762</v>
      </c>
      <c r="G9" s="9"/>
      <c r="H9" s="9" t="s">
        <v>763</v>
      </c>
      <c r="I9" s="9" t="s">
        <v>764</v>
      </c>
      <c r="J9" s="9" t="s">
        <v>765</v>
      </c>
      <c r="K9" s="11"/>
      <c r="L9" s="1"/>
      <c r="M9" s="1"/>
      <c r="N9" s="1"/>
      <c r="O9" s="1"/>
      <c r="P9" s="1"/>
      <c r="Q9" s="1"/>
      <c r="R9" s="1"/>
      <c r="T9" s="8" t="s">
        <v>762</v>
      </c>
    </row>
    <row r="10" spans="1:20" x14ac:dyDescent="0.25">
      <c r="A10" s="5">
        <v>9</v>
      </c>
      <c r="B10" s="5"/>
      <c r="C10" s="5" t="s">
        <v>766</v>
      </c>
      <c r="D10" s="8" t="s">
        <v>767</v>
      </c>
      <c r="E10" s="8"/>
      <c r="F10" s="8" t="s">
        <v>768</v>
      </c>
      <c r="G10" s="8"/>
      <c r="H10" s="8" t="s">
        <v>769</v>
      </c>
      <c r="I10" s="8" t="s">
        <v>770</v>
      </c>
      <c r="J10" s="8" t="s">
        <v>718</v>
      </c>
      <c r="K10" s="10"/>
      <c r="L10" s="5"/>
      <c r="M10" s="5"/>
      <c r="N10" s="5"/>
      <c r="O10" s="5"/>
      <c r="P10" s="5"/>
      <c r="Q10" s="5"/>
      <c r="R10" s="5"/>
      <c r="T10" s="9" t="s">
        <v>768</v>
      </c>
    </row>
    <row r="11" spans="1:20" x14ac:dyDescent="0.25">
      <c r="A11" s="1">
        <v>10</v>
      </c>
      <c r="B11" s="1"/>
      <c r="C11" s="1" t="s">
        <v>771</v>
      </c>
      <c r="D11" s="9" t="s">
        <v>772</v>
      </c>
      <c r="E11" s="9"/>
      <c r="F11" s="9" t="s">
        <v>773</v>
      </c>
      <c r="G11" s="9"/>
      <c r="H11" s="9" t="s">
        <v>774</v>
      </c>
      <c r="I11" s="9" t="s">
        <v>775</v>
      </c>
      <c r="J11" s="9" t="s">
        <v>776</v>
      </c>
      <c r="K11" s="11"/>
      <c r="L11" s="1"/>
      <c r="M11" s="1"/>
      <c r="N11" s="1"/>
      <c r="O11" s="1"/>
      <c r="P11" s="1"/>
      <c r="Q11" s="1"/>
      <c r="R11" s="1"/>
      <c r="T11" s="8" t="s">
        <v>773</v>
      </c>
    </row>
    <row r="12" spans="1:20" x14ac:dyDescent="0.25">
      <c r="D12" s="8" t="s">
        <v>777</v>
      </c>
      <c r="E12" s="8"/>
      <c r="F12" s="8" t="s">
        <v>778</v>
      </c>
      <c r="G12" s="8"/>
      <c r="H12" s="8" t="s">
        <v>779</v>
      </c>
      <c r="I12" s="8"/>
      <c r="J12" s="8" t="s">
        <v>780</v>
      </c>
      <c r="T12" s="9" t="s">
        <v>778</v>
      </c>
    </row>
    <row r="13" spans="1:20" x14ac:dyDescent="0.25">
      <c r="D13" s="9" t="s">
        <v>781</v>
      </c>
      <c r="E13" s="9"/>
      <c r="F13" s="9" t="s">
        <v>782</v>
      </c>
      <c r="G13" s="9"/>
      <c r="H13" s="9" t="s">
        <v>783</v>
      </c>
      <c r="I13" s="9"/>
      <c r="J13" s="9" t="s">
        <v>784</v>
      </c>
      <c r="T13" s="8" t="s">
        <v>782</v>
      </c>
    </row>
    <row r="14" spans="1:20" x14ac:dyDescent="0.25">
      <c r="D14" s="8" t="s">
        <v>785</v>
      </c>
      <c r="E14" s="8"/>
      <c r="F14" s="8" t="s">
        <v>786</v>
      </c>
      <c r="G14" s="8"/>
      <c r="H14" s="8" t="s">
        <v>787</v>
      </c>
      <c r="I14" s="8"/>
      <c r="J14" s="8"/>
      <c r="T14" s="9" t="s">
        <v>786</v>
      </c>
    </row>
    <row r="15" spans="1:20" x14ac:dyDescent="0.25">
      <c r="D15" s="9" t="s">
        <v>788</v>
      </c>
      <c r="E15" s="9"/>
      <c r="F15" s="9" t="s">
        <v>789</v>
      </c>
      <c r="G15" s="9"/>
      <c r="H15" s="9" t="s">
        <v>790</v>
      </c>
      <c r="I15" s="9"/>
      <c r="J15" s="9"/>
      <c r="T15" s="8" t="s">
        <v>789</v>
      </c>
    </row>
    <row r="16" spans="1:20" x14ac:dyDescent="0.25">
      <c r="D16" s="8" t="s">
        <v>791</v>
      </c>
      <c r="E16" s="8"/>
      <c r="F16" s="8" t="s">
        <v>792</v>
      </c>
      <c r="G16" s="8"/>
      <c r="H16" s="8" t="s">
        <v>793</v>
      </c>
      <c r="I16" s="8"/>
      <c r="J16" s="8"/>
      <c r="T16" s="9" t="s">
        <v>792</v>
      </c>
    </row>
    <row r="17" spans="4:20" x14ac:dyDescent="0.25">
      <c r="D17" s="9" t="s">
        <v>794</v>
      </c>
      <c r="E17" s="9"/>
      <c r="F17" s="9" t="s">
        <v>795</v>
      </c>
      <c r="G17" s="9"/>
      <c r="H17" s="9" t="s">
        <v>796</v>
      </c>
      <c r="I17" s="9"/>
      <c r="J17" s="9"/>
      <c r="T17" s="8" t="s">
        <v>795</v>
      </c>
    </row>
    <row r="18" spans="4:20" x14ac:dyDescent="0.25">
      <c r="D18" s="8" t="s">
        <v>797</v>
      </c>
      <c r="E18" s="8"/>
      <c r="F18" s="8" t="s">
        <v>798</v>
      </c>
      <c r="G18" s="8"/>
      <c r="H18" s="8" t="s">
        <v>799</v>
      </c>
      <c r="I18" s="8"/>
      <c r="J18" s="8"/>
      <c r="T18" s="9" t="s">
        <v>798</v>
      </c>
    </row>
    <row r="19" spans="4:20" x14ac:dyDescent="0.25">
      <c r="D19" s="9" t="s">
        <v>800</v>
      </c>
      <c r="E19" s="9"/>
      <c r="F19" s="9" t="s">
        <v>801</v>
      </c>
      <c r="G19" s="9"/>
      <c r="H19" s="9"/>
      <c r="I19" s="9"/>
      <c r="J19" s="9"/>
      <c r="T19" s="8" t="s">
        <v>801</v>
      </c>
    </row>
    <row r="20" spans="4:20" x14ac:dyDescent="0.25">
      <c r="D20" s="8" t="s">
        <v>802</v>
      </c>
      <c r="E20" s="8"/>
      <c r="F20" s="8" t="s">
        <v>803</v>
      </c>
      <c r="G20" s="8"/>
      <c r="H20" s="8"/>
      <c r="I20" s="8"/>
      <c r="J20" s="8"/>
      <c r="T20" s="9" t="s">
        <v>803</v>
      </c>
    </row>
    <row r="21" spans="4:20" x14ac:dyDescent="0.25">
      <c r="D21" s="9" t="s">
        <v>804</v>
      </c>
      <c r="E21" s="9"/>
      <c r="F21" s="9" t="s">
        <v>805</v>
      </c>
      <c r="G21" s="9"/>
      <c r="H21" s="9"/>
      <c r="I21" s="9"/>
      <c r="J21" s="9"/>
      <c r="T21" s="8" t="s">
        <v>805</v>
      </c>
    </row>
    <row r="22" spans="4:20" x14ac:dyDescent="0.25">
      <c r="D22" s="8" t="s">
        <v>806</v>
      </c>
      <c r="E22" s="8"/>
      <c r="F22" s="8" t="s">
        <v>807</v>
      </c>
      <c r="G22" s="8"/>
      <c r="H22" s="8"/>
      <c r="I22" s="8"/>
      <c r="J22" s="8"/>
      <c r="T22" s="9" t="s">
        <v>807</v>
      </c>
    </row>
    <row r="23" spans="4:20" x14ac:dyDescent="0.25">
      <c r="D23" s="9" t="s">
        <v>808</v>
      </c>
      <c r="E23" s="9"/>
      <c r="F23" s="9" t="s">
        <v>809</v>
      </c>
      <c r="G23" s="9"/>
      <c r="H23" s="9"/>
      <c r="I23" s="9"/>
      <c r="J23" s="9"/>
      <c r="T23" s="8" t="s">
        <v>809</v>
      </c>
    </row>
    <row r="24" spans="4:20" x14ac:dyDescent="0.25">
      <c r="D24" s="8" t="s">
        <v>810</v>
      </c>
      <c r="E24" s="8"/>
      <c r="F24" s="8" t="s">
        <v>811</v>
      </c>
      <c r="G24" s="8"/>
      <c r="H24" s="8"/>
      <c r="I24" s="8"/>
      <c r="J24" s="8"/>
      <c r="T24" s="9" t="s">
        <v>811</v>
      </c>
    </row>
    <row r="25" spans="4:20" x14ac:dyDescent="0.25">
      <c r="D25" s="9" t="s">
        <v>812</v>
      </c>
      <c r="E25" s="9"/>
      <c r="F25" s="9" t="s">
        <v>813</v>
      </c>
      <c r="G25" s="9"/>
      <c r="H25" s="9"/>
      <c r="I25" s="9"/>
      <c r="J25" s="9"/>
      <c r="T25" s="8" t="s">
        <v>813</v>
      </c>
    </row>
    <row r="26" spans="4:20" x14ac:dyDescent="0.25">
      <c r="D26" s="8" t="s">
        <v>814</v>
      </c>
      <c r="E26" s="8"/>
      <c r="F26" s="8" t="s">
        <v>815</v>
      </c>
      <c r="G26" s="8"/>
      <c r="H26" s="8"/>
      <c r="I26" s="8"/>
      <c r="J26" s="8"/>
      <c r="T26" s="9" t="s">
        <v>815</v>
      </c>
    </row>
    <row r="27" spans="4:20" x14ac:dyDescent="0.25">
      <c r="D27" s="9" t="s">
        <v>816</v>
      </c>
      <c r="E27" s="9"/>
      <c r="F27" s="9" t="s">
        <v>817</v>
      </c>
      <c r="G27" s="9"/>
      <c r="H27" s="9"/>
      <c r="I27" s="9"/>
      <c r="J27" s="9"/>
      <c r="T27" s="8" t="s">
        <v>817</v>
      </c>
    </row>
    <row r="28" spans="4:20" x14ac:dyDescent="0.25">
      <c r="D28" s="8" t="s">
        <v>818</v>
      </c>
      <c r="E28" s="8"/>
      <c r="F28" s="8" t="s">
        <v>819</v>
      </c>
      <c r="G28" s="8"/>
      <c r="H28" s="8"/>
      <c r="I28" s="8"/>
      <c r="J28" s="8"/>
      <c r="T28" s="54" t="s">
        <v>819</v>
      </c>
    </row>
    <row r="29" spans="4:20" x14ac:dyDescent="0.25">
      <c r="D29" s="9" t="s">
        <v>820</v>
      </c>
      <c r="E29" s="9"/>
      <c r="F29" s="9" t="s">
        <v>821</v>
      </c>
      <c r="G29" s="9"/>
      <c r="H29" s="9"/>
      <c r="I29" s="9"/>
      <c r="J29" s="9"/>
      <c r="T29" s="55" t="s">
        <v>821</v>
      </c>
    </row>
    <row r="30" spans="4:20" x14ac:dyDescent="0.25">
      <c r="D30" s="8" t="s">
        <v>822</v>
      </c>
      <c r="E30" s="8"/>
      <c r="F30" s="8" t="s">
        <v>823</v>
      </c>
      <c r="G30" s="8"/>
      <c r="H30" s="8"/>
      <c r="I30" s="8"/>
      <c r="J30" s="8"/>
      <c r="T30" s="54" t="s">
        <v>823</v>
      </c>
    </row>
    <row r="31" spans="4:20" x14ac:dyDescent="0.25">
      <c r="D31" s="9" t="s">
        <v>824</v>
      </c>
      <c r="E31" s="9"/>
      <c r="F31" s="9" t="s">
        <v>825</v>
      </c>
      <c r="G31" s="9"/>
      <c r="H31" s="9"/>
      <c r="I31" s="9"/>
      <c r="J31" s="9"/>
      <c r="T31" s="8" t="s">
        <v>825</v>
      </c>
    </row>
    <row r="32" spans="4:20" x14ac:dyDescent="0.25">
      <c r="D32" s="8" t="s">
        <v>826</v>
      </c>
      <c r="E32" s="8"/>
      <c r="F32" s="8" t="s">
        <v>827</v>
      </c>
      <c r="G32" s="8"/>
      <c r="H32" s="8"/>
      <c r="I32" s="8"/>
      <c r="J32" s="8"/>
      <c r="T32" s="9" t="s">
        <v>827</v>
      </c>
    </row>
    <row r="33" spans="4:20" x14ac:dyDescent="0.25">
      <c r="D33" s="9" t="s">
        <v>828</v>
      </c>
      <c r="E33" s="9"/>
      <c r="F33" s="9" t="s">
        <v>829</v>
      </c>
      <c r="G33" s="9"/>
      <c r="H33" s="9"/>
      <c r="I33" s="9"/>
      <c r="J33" s="9"/>
      <c r="T33" s="8" t="s">
        <v>829</v>
      </c>
    </row>
    <row r="34" spans="4:20" x14ac:dyDescent="0.25">
      <c r="D34" s="8" t="s">
        <v>830</v>
      </c>
      <c r="E34" s="8"/>
      <c r="F34" s="8" t="s">
        <v>831</v>
      </c>
      <c r="G34" s="8"/>
      <c r="H34" s="8"/>
      <c r="I34" s="8"/>
      <c r="J34" s="8"/>
      <c r="T34" s="54" t="s">
        <v>831</v>
      </c>
    </row>
    <row r="35" spans="4:20" x14ac:dyDescent="0.25">
      <c r="D35" s="9" t="s">
        <v>832</v>
      </c>
      <c r="E35" s="9"/>
      <c r="F35" s="9" t="s">
        <v>833</v>
      </c>
      <c r="G35" s="9"/>
      <c r="H35" s="9"/>
      <c r="I35" s="9"/>
      <c r="J35" s="9"/>
      <c r="T35" s="8" t="s">
        <v>833</v>
      </c>
    </row>
    <row r="36" spans="4:20" x14ac:dyDescent="0.25">
      <c r="D36" s="8" t="s">
        <v>834</v>
      </c>
      <c r="E36" s="8"/>
      <c r="F36" s="8" t="s">
        <v>835</v>
      </c>
      <c r="G36" s="8"/>
      <c r="H36" s="8"/>
      <c r="I36" s="8"/>
      <c r="J36" s="8"/>
      <c r="T36" s="9" t="s">
        <v>835</v>
      </c>
    </row>
    <row r="37" spans="4:20" x14ac:dyDescent="0.25">
      <c r="D37" s="9" t="s">
        <v>836</v>
      </c>
      <c r="E37" s="9"/>
      <c r="F37" s="9" t="s">
        <v>837</v>
      </c>
      <c r="G37" s="9"/>
      <c r="H37" s="9"/>
      <c r="I37" s="9"/>
      <c r="J37" s="9"/>
      <c r="T37" s="8" t="s">
        <v>837</v>
      </c>
    </row>
    <row r="38" spans="4:20" x14ac:dyDescent="0.25">
      <c r="D38" s="8" t="s">
        <v>838</v>
      </c>
      <c r="E38" s="8"/>
      <c r="F38" s="8" t="s">
        <v>839</v>
      </c>
      <c r="G38" s="8"/>
      <c r="H38" s="8"/>
      <c r="I38" s="8"/>
      <c r="J38" s="8"/>
      <c r="T38" s="9" t="s">
        <v>839</v>
      </c>
    </row>
    <row r="39" spans="4:20" x14ac:dyDescent="0.25">
      <c r="D39" s="9" t="s">
        <v>840</v>
      </c>
      <c r="E39" s="9"/>
      <c r="F39" s="9" t="s">
        <v>841</v>
      </c>
      <c r="G39" s="9"/>
      <c r="H39" s="9"/>
      <c r="I39" s="9"/>
      <c r="J39" s="9"/>
      <c r="T39" s="8" t="s">
        <v>841</v>
      </c>
    </row>
    <row r="40" spans="4:20" x14ac:dyDescent="0.25">
      <c r="D40" s="8" t="s">
        <v>842</v>
      </c>
      <c r="E40" s="8"/>
      <c r="F40" s="8"/>
      <c r="G40" s="8"/>
      <c r="H40" s="8"/>
      <c r="I40" s="8"/>
      <c r="J40" s="8"/>
      <c r="T40" s="9"/>
    </row>
    <row r="41" spans="4:20" x14ac:dyDescent="0.25">
      <c r="D41" s="9" t="s">
        <v>843</v>
      </c>
      <c r="E41" s="9"/>
      <c r="F41" s="9"/>
      <c r="G41" s="9"/>
      <c r="H41" s="9"/>
      <c r="I41" s="9"/>
      <c r="J41" s="9"/>
      <c r="T41" s="8"/>
    </row>
    <row r="42" spans="4:20" x14ac:dyDescent="0.25">
      <c r="D42" s="8" t="s">
        <v>844</v>
      </c>
      <c r="E42" s="8"/>
      <c r="F42" s="8"/>
      <c r="G42" s="8"/>
      <c r="H42" s="8"/>
      <c r="I42" s="8"/>
      <c r="J42" s="8"/>
      <c r="T42" s="9"/>
    </row>
    <row r="43" spans="4:20" x14ac:dyDescent="0.25">
      <c r="D43" s="9" t="s">
        <v>845</v>
      </c>
      <c r="E43" s="9"/>
      <c r="F43" s="9"/>
      <c r="G43" s="9"/>
      <c r="H43" s="9"/>
      <c r="I43" s="9"/>
      <c r="J43" s="9"/>
      <c r="T43" s="8"/>
    </row>
    <row r="44" spans="4:20" x14ac:dyDescent="0.25">
      <c r="D44" s="8" t="s">
        <v>846</v>
      </c>
      <c r="E44" s="8"/>
      <c r="F44" s="8"/>
      <c r="G44" s="8"/>
      <c r="H44" s="8"/>
      <c r="I44" s="8"/>
      <c r="J44" s="8"/>
      <c r="T44" s="9"/>
    </row>
    <row r="45" spans="4:20" x14ac:dyDescent="0.25">
      <c r="D45" s="9" t="s">
        <v>804</v>
      </c>
      <c r="E45" s="9"/>
      <c r="F45" s="9"/>
      <c r="G45" s="9"/>
      <c r="H45" s="9"/>
      <c r="I45" s="9"/>
      <c r="J45" s="9"/>
      <c r="T45" s="8"/>
    </row>
    <row r="46" spans="4:20" x14ac:dyDescent="0.25">
      <c r="D46" s="8" t="s">
        <v>847</v>
      </c>
      <c r="E46" s="8"/>
      <c r="F46" s="8"/>
      <c r="G46" s="8"/>
      <c r="H46" s="8"/>
      <c r="I46" s="8"/>
      <c r="J46" s="8"/>
      <c r="T46" s="8"/>
    </row>
    <row r="47" spans="4:20" x14ac:dyDescent="0.25">
      <c r="D47" s="9" t="s">
        <v>848</v>
      </c>
      <c r="E47" s="9"/>
      <c r="F47" s="9"/>
      <c r="G47" s="9"/>
      <c r="H47" s="9"/>
      <c r="I47" s="9"/>
      <c r="J47" s="9"/>
      <c r="T47" s="9"/>
    </row>
    <row r="48" spans="4:20" x14ac:dyDescent="0.25">
      <c r="D48" s="8" t="s">
        <v>849</v>
      </c>
      <c r="E48" s="8"/>
      <c r="F48" s="8"/>
      <c r="G48" s="8"/>
      <c r="H48" s="8"/>
      <c r="I48" s="8"/>
      <c r="J48" s="8"/>
      <c r="T48" s="8"/>
    </row>
    <row r="49" spans="4:20" x14ac:dyDescent="0.25">
      <c r="D49" s="9" t="s">
        <v>850</v>
      </c>
      <c r="E49" s="9"/>
      <c r="F49" s="9"/>
      <c r="G49" s="9"/>
      <c r="H49" s="9"/>
      <c r="I49" s="9"/>
      <c r="J49" s="9"/>
      <c r="T49" s="9"/>
    </row>
    <row r="50" spans="4:20" x14ac:dyDescent="0.25">
      <c r="D50" s="8" t="s">
        <v>851</v>
      </c>
      <c r="E50" s="8"/>
      <c r="F50" s="8"/>
      <c r="G50" s="8"/>
      <c r="H50" s="8"/>
      <c r="I50" s="8"/>
      <c r="J50" s="8"/>
      <c r="T50" s="8"/>
    </row>
    <row r="51" spans="4:20" x14ac:dyDescent="0.25">
      <c r="D51" s="9" t="s">
        <v>852</v>
      </c>
      <c r="E51" s="9"/>
      <c r="F51" s="9"/>
      <c r="G51" s="9"/>
      <c r="H51" s="9"/>
      <c r="I51" s="9"/>
      <c r="J51" s="9"/>
      <c r="T51" s="9"/>
    </row>
    <row r="52" spans="4:20" x14ac:dyDescent="0.25">
      <c r="D52" s="8" t="s">
        <v>853</v>
      </c>
      <c r="E52" s="8"/>
      <c r="F52" s="8"/>
      <c r="G52" s="8"/>
      <c r="H52" s="8"/>
      <c r="I52" s="8"/>
      <c r="J52" s="8"/>
      <c r="T52" s="8"/>
    </row>
    <row r="53" spans="4:20" x14ac:dyDescent="0.25">
      <c r="D53" s="9" t="s">
        <v>854</v>
      </c>
      <c r="E53" s="9"/>
      <c r="F53" s="9"/>
      <c r="G53" s="9"/>
      <c r="H53" s="9"/>
      <c r="I53" s="9"/>
      <c r="J53" s="9"/>
      <c r="T53" s="9"/>
    </row>
    <row r="54" spans="4:20" x14ac:dyDescent="0.25">
      <c r="D54" s="8" t="s">
        <v>855</v>
      </c>
      <c r="E54" s="8"/>
      <c r="F54" s="8"/>
      <c r="G54" s="8"/>
      <c r="H54" s="8"/>
      <c r="I54" s="8"/>
      <c r="J54" s="8"/>
      <c r="T54" s="8"/>
    </row>
    <row r="55" spans="4:20" x14ac:dyDescent="0.25">
      <c r="D55" s="9" t="s">
        <v>856</v>
      </c>
      <c r="E55" s="9"/>
      <c r="F55" s="9"/>
      <c r="G55" s="9"/>
      <c r="H55" s="9"/>
      <c r="I55" s="9"/>
      <c r="J55" s="9"/>
      <c r="T55" s="9"/>
    </row>
    <row r="56" spans="4:20" x14ac:dyDescent="0.25">
      <c r="D56" s="8" t="s">
        <v>857</v>
      </c>
      <c r="E56" s="8"/>
      <c r="F56" s="8"/>
      <c r="G56" s="8"/>
      <c r="H56" s="8"/>
      <c r="I56" s="8"/>
      <c r="J56" s="8"/>
      <c r="T56" s="8"/>
    </row>
    <row r="57" spans="4:20" x14ac:dyDescent="0.25">
      <c r="D57" s="9" t="s">
        <v>858</v>
      </c>
      <c r="E57" s="9"/>
      <c r="F57" s="9"/>
      <c r="G57" s="9"/>
      <c r="H57" s="9"/>
      <c r="I57" s="9"/>
      <c r="J57" s="9"/>
      <c r="T57" s="9"/>
    </row>
    <row r="58" spans="4:20" x14ac:dyDescent="0.25">
      <c r="D58" s="8" t="s">
        <v>859</v>
      </c>
      <c r="E58" s="8"/>
      <c r="F58" s="8"/>
      <c r="G58" s="8"/>
      <c r="H58" s="8"/>
      <c r="I58" s="8"/>
      <c r="J58" s="8"/>
      <c r="T58" s="8"/>
    </row>
    <row r="59" spans="4:20" x14ac:dyDescent="0.25">
      <c r="D59" s="9" t="s">
        <v>860</v>
      </c>
      <c r="E59" s="9"/>
      <c r="F59" s="9"/>
      <c r="G59" s="9"/>
      <c r="H59" s="9"/>
      <c r="I59" s="9"/>
      <c r="J59" s="9"/>
      <c r="T59" s="9"/>
    </row>
    <row r="60" spans="4:20" x14ac:dyDescent="0.25">
      <c r="D60" s="8" t="s">
        <v>861</v>
      </c>
      <c r="E60" s="8"/>
      <c r="F60" s="8"/>
      <c r="G60" s="8"/>
      <c r="H60" s="8"/>
      <c r="I60" s="8"/>
      <c r="J60" s="8"/>
      <c r="T60" s="8"/>
    </row>
    <row r="61" spans="4:20" x14ac:dyDescent="0.25">
      <c r="D61" s="9" t="s">
        <v>862</v>
      </c>
      <c r="E61" s="9"/>
      <c r="F61" s="9"/>
      <c r="G61" s="9"/>
      <c r="H61" s="9"/>
      <c r="I61" s="9"/>
      <c r="J61" s="9"/>
      <c r="T61" s="9"/>
    </row>
    <row r="62" spans="4:20" x14ac:dyDescent="0.25">
      <c r="D62" s="8" t="s">
        <v>863</v>
      </c>
      <c r="E62" s="8"/>
      <c r="F62" s="8"/>
      <c r="G62" s="8"/>
      <c r="H62" s="8"/>
      <c r="I62" s="8"/>
      <c r="J62" s="8"/>
      <c r="T62" s="8"/>
    </row>
    <row r="63" spans="4:20" x14ac:dyDescent="0.25">
      <c r="D63" s="9" t="s">
        <v>864</v>
      </c>
      <c r="E63" s="9"/>
      <c r="F63" s="9"/>
      <c r="G63" s="9"/>
      <c r="H63" s="9"/>
      <c r="I63" s="9"/>
      <c r="J63" s="9"/>
      <c r="T63" s="9"/>
    </row>
    <row r="64" spans="4:20" x14ac:dyDescent="0.25">
      <c r="D64" s="8" t="s">
        <v>865</v>
      </c>
      <c r="E64" s="8"/>
      <c r="F64" s="8"/>
      <c r="G64" s="8"/>
      <c r="H64" s="8"/>
      <c r="I64" s="8"/>
      <c r="J64" s="8"/>
      <c r="T64" s="8"/>
    </row>
    <row r="65" spans="4:20" x14ac:dyDescent="0.25">
      <c r="D65" s="9" t="s">
        <v>866</v>
      </c>
      <c r="E65" s="9"/>
      <c r="F65" s="9"/>
      <c r="G65" s="9"/>
      <c r="H65" s="9"/>
      <c r="I65" s="9"/>
      <c r="J65" s="9"/>
      <c r="T65" s="9"/>
    </row>
    <row r="66" spans="4:20" x14ac:dyDescent="0.25">
      <c r="D66" s="8" t="s">
        <v>867</v>
      </c>
      <c r="E66" s="8"/>
      <c r="F66" s="8"/>
      <c r="G66" s="8"/>
      <c r="H66" s="8"/>
      <c r="I66" s="8"/>
      <c r="J66" s="8"/>
      <c r="T66" s="8"/>
    </row>
    <row r="67" spans="4:20" x14ac:dyDescent="0.25">
      <c r="D67" s="9" t="s">
        <v>868</v>
      </c>
      <c r="E67" s="9"/>
      <c r="F67" s="9"/>
      <c r="G67" s="9"/>
      <c r="H67" s="9"/>
      <c r="I67" s="9"/>
      <c r="J67" s="9"/>
      <c r="T67" s="9"/>
    </row>
    <row r="68" spans="4:20" x14ac:dyDescent="0.25">
      <c r="D68" s="8" t="s">
        <v>869</v>
      </c>
      <c r="E68" s="8"/>
      <c r="F68" s="8"/>
      <c r="G68" s="8"/>
      <c r="H68" s="8"/>
      <c r="I68" s="8"/>
      <c r="J68" s="8"/>
      <c r="T68" s="8"/>
    </row>
    <row r="69" spans="4:20" x14ac:dyDescent="0.25">
      <c r="D69" s="9" t="s">
        <v>870</v>
      </c>
      <c r="E69" s="9"/>
      <c r="F69" s="9"/>
      <c r="G69" s="9"/>
      <c r="H69" s="9"/>
      <c r="I69" s="9"/>
      <c r="J69" s="9"/>
      <c r="T69" s="9"/>
    </row>
    <row r="70" spans="4:20" x14ac:dyDescent="0.25">
      <c r="D70" s="8" t="s">
        <v>871</v>
      </c>
      <c r="E70" s="8"/>
      <c r="F70" s="8"/>
      <c r="G70" s="8"/>
      <c r="H70" s="8"/>
      <c r="I70" s="8"/>
      <c r="J70" s="8"/>
      <c r="T70" s="8"/>
    </row>
    <row r="71" spans="4:20" x14ac:dyDescent="0.25">
      <c r="D71" s="9" t="s">
        <v>872</v>
      </c>
      <c r="E71" s="9"/>
      <c r="F71" s="9"/>
      <c r="G71" s="9"/>
      <c r="H71" s="9"/>
      <c r="I71" s="9"/>
      <c r="J71" s="9"/>
      <c r="T71" s="9"/>
    </row>
    <row r="72" spans="4:20" x14ac:dyDescent="0.25">
      <c r="D72" s="8" t="s">
        <v>873</v>
      </c>
      <c r="E72" s="8"/>
      <c r="F72" s="8"/>
      <c r="G72" s="8"/>
      <c r="H72" s="8"/>
      <c r="I72" s="8"/>
      <c r="J72" s="8"/>
      <c r="T72" s="8"/>
    </row>
    <row r="73" spans="4:20" x14ac:dyDescent="0.25">
      <c r="D73" s="9" t="s">
        <v>874</v>
      </c>
      <c r="E73" s="9"/>
      <c r="F73" s="9"/>
      <c r="G73" s="9"/>
      <c r="H73" s="9"/>
      <c r="I73" s="9"/>
      <c r="J73" s="9"/>
      <c r="T73" s="9"/>
    </row>
    <row r="74" spans="4:20" x14ac:dyDescent="0.25">
      <c r="D74" s="8" t="s">
        <v>875</v>
      </c>
      <c r="E74" s="8"/>
      <c r="F74" s="8"/>
      <c r="G74" s="8"/>
      <c r="H74" s="8"/>
      <c r="I74" s="8"/>
      <c r="J74" s="8"/>
      <c r="T74" s="8"/>
    </row>
    <row r="75" spans="4:20" x14ac:dyDescent="0.25">
      <c r="D75" s="9" t="s">
        <v>876</v>
      </c>
      <c r="E75" s="9"/>
      <c r="F75" s="9"/>
      <c r="G75" s="9"/>
      <c r="H75" s="9"/>
      <c r="I75" s="9"/>
      <c r="J75" s="9"/>
      <c r="T75" s="9"/>
    </row>
    <row r="76" spans="4:20" x14ac:dyDescent="0.25">
      <c r="D76" s="8" t="s">
        <v>877</v>
      </c>
      <c r="E76" s="8"/>
      <c r="F76" s="8"/>
      <c r="G76" s="8"/>
      <c r="H76" s="8"/>
      <c r="I76" s="8"/>
      <c r="J76" s="8"/>
      <c r="T76" s="8"/>
    </row>
    <row r="77" spans="4:20" x14ac:dyDescent="0.25">
      <c r="D77" s="9" t="s">
        <v>878</v>
      </c>
      <c r="E77" s="9"/>
      <c r="F77" s="9"/>
      <c r="G77" s="9"/>
      <c r="H77" s="9"/>
      <c r="I77" s="9"/>
      <c r="J77" s="9"/>
      <c r="T77" s="9"/>
    </row>
    <row r="78" spans="4:20" x14ac:dyDescent="0.25">
      <c r="D78" s="8" t="s">
        <v>879</v>
      </c>
      <c r="E78" s="8"/>
      <c r="F78" s="8"/>
      <c r="G78" s="8"/>
      <c r="H78" s="8"/>
      <c r="I78" s="8"/>
      <c r="J78" s="8"/>
      <c r="T78" s="8"/>
    </row>
    <row r="79" spans="4:20" x14ac:dyDescent="0.25">
      <c r="D79" s="9" t="s">
        <v>880</v>
      </c>
      <c r="E79" s="9"/>
      <c r="F79" s="9"/>
      <c r="G79" s="9"/>
      <c r="H79" s="9"/>
      <c r="I79" s="9"/>
      <c r="J79" s="9"/>
      <c r="T79" s="9"/>
    </row>
    <row r="80" spans="4:20" x14ac:dyDescent="0.25">
      <c r="D80" s="8" t="s">
        <v>881</v>
      </c>
      <c r="E80" s="8"/>
      <c r="F80" s="8"/>
      <c r="G80" s="8"/>
      <c r="H80" s="8"/>
      <c r="I80" s="8"/>
      <c r="J80" s="8"/>
      <c r="T80" s="8"/>
    </row>
    <row r="81" spans="4:20" x14ac:dyDescent="0.25">
      <c r="D81" s="9" t="s">
        <v>882</v>
      </c>
      <c r="E81" s="9"/>
      <c r="F81" s="9"/>
      <c r="G81" s="9"/>
      <c r="H81" s="9"/>
      <c r="I81" s="9"/>
      <c r="J81" s="9"/>
      <c r="T81" s="9"/>
    </row>
    <row r="82" spans="4:20" x14ac:dyDescent="0.25">
      <c r="D82" s="8" t="s">
        <v>883</v>
      </c>
      <c r="E82" s="8"/>
      <c r="F82" s="8"/>
      <c r="G82" s="8"/>
      <c r="H82" s="8"/>
      <c r="I82" s="8"/>
      <c r="J82" s="8"/>
      <c r="T82" s="8"/>
    </row>
    <row r="83" spans="4:20" x14ac:dyDescent="0.25">
      <c r="D83" s="9" t="s">
        <v>884</v>
      </c>
      <c r="E83" s="9"/>
      <c r="F83" s="9"/>
      <c r="G83" s="9"/>
      <c r="H83" s="9"/>
      <c r="I83" s="9"/>
      <c r="J83" s="9"/>
      <c r="T83" s="9"/>
    </row>
    <row r="84" spans="4:20" x14ac:dyDescent="0.25">
      <c r="D84" s="8" t="s">
        <v>885</v>
      </c>
      <c r="E84" s="8"/>
      <c r="F84" s="8"/>
      <c r="G84" s="8"/>
      <c r="H84" s="8"/>
      <c r="I84" s="8"/>
      <c r="J84" s="8"/>
      <c r="T84" s="8"/>
    </row>
    <row r="85" spans="4:20" x14ac:dyDescent="0.25">
      <c r="D85" s="9" t="s">
        <v>886</v>
      </c>
      <c r="E85" s="9"/>
      <c r="F85" s="9"/>
      <c r="G85" s="9"/>
      <c r="H85" s="9"/>
      <c r="I85" s="9"/>
      <c r="J85" s="9"/>
      <c r="T85" s="9"/>
    </row>
    <row r="86" spans="4:20" x14ac:dyDescent="0.25">
      <c r="D86" s="8" t="s">
        <v>887</v>
      </c>
      <c r="E86" s="8"/>
      <c r="F86" s="8"/>
      <c r="G86" s="8"/>
      <c r="H86" s="8"/>
      <c r="I86" s="8"/>
      <c r="J86" s="8"/>
      <c r="T86" s="8"/>
    </row>
    <row r="87" spans="4:20" x14ac:dyDescent="0.25">
      <c r="D87" s="9" t="s">
        <v>888</v>
      </c>
      <c r="E87" s="9"/>
      <c r="F87" s="9"/>
      <c r="G87" s="9"/>
      <c r="H87" s="9"/>
      <c r="I87" s="9"/>
      <c r="J87" s="9"/>
      <c r="T87" s="9"/>
    </row>
    <row r="88" spans="4:20" x14ac:dyDescent="0.25">
      <c r="D88" s="8" t="s">
        <v>889</v>
      </c>
      <c r="E88" s="8"/>
      <c r="F88" s="8"/>
      <c r="G88" s="8"/>
      <c r="H88" s="8"/>
      <c r="I88" s="8"/>
      <c r="J88" s="8"/>
      <c r="T88" s="8"/>
    </row>
    <row r="89" spans="4:20" x14ac:dyDescent="0.25">
      <c r="D89" s="9" t="s">
        <v>890</v>
      </c>
      <c r="E89" s="9"/>
      <c r="F89" s="9"/>
      <c r="G89" s="9"/>
      <c r="H89" s="9"/>
      <c r="I89" s="9"/>
      <c r="J89" s="9"/>
      <c r="T89" s="9"/>
    </row>
    <row r="90" spans="4:20" x14ac:dyDescent="0.25">
      <c r="D90" s="8" t="s">
        <v>891</v>
      </c>
      <c r="E90" s="8"/>
      <c r="F90" s="8"/>
      <c r="G90" s="8"/>
      <c r="H90" s="8"/>
      <c r="I90" s="8"/>
      <c r="J90" s="8"/>
      <c r="T90" s="8"/>
    </row>
    <row r="91" spans="4:20" x14ac:dyDescent="0.25">
      <c r="D91" s="9" t="s">
        <v>892</v>
      </c>
      <c r="E91" s="9"/>
      <c r="F91" s="9"/>
      <c r="G91" s="9"/>
      <c r="H91" s="9"/>
      <c r="I91" s="9"/>
      <c r="J91" s="9"/>
      <c r="T91" s="9"/>
    </row>
    <row r="92" spans="4:20" x14ac:dyDescent="0.25">
      <c r="D92" s="8" t="s">
        <v>893</v>
      </c>
      <c r="E92" s="8"/>
      <c r="F92" s="8"/>
      <c r="G92" s="8"/>
      <c r="H92" s="8"/>
      <c r="I92" s="8"/>
      <c r="J92" s="8"/>
      <c r="T92" s="8"/>
    </row>
    <row r="93" spans="4:20" x14ac:dyDescent="0.25">
      <c r="D93" s="9" t="s">
        <v>894</v>
      </c>
      <c r="E93" s="9"/>
      <c r="F93" s="9"/>
      <c r="G93" s="9"/>
      <c r="H93" s="9"/>
      <c r="I93" s="9"/>
      <c r="J93" s="9"/>
      <c r="T93" s="9"/>
    </row>
    <row r="94" spans="4:20" x14ac:dyDescent="0.25">
      <c r="D94" s="8" t="s">
        <v>895</v>
      </c>
      <c r="E94" s="8"/>
      <c r="F94" s="8"/>
      <c r="G94" s="8"/>
      <c r="H94" s="8"/>
      <c r="I94" s="8"/>
      <c r="J94" s="8"/>
      <c r="T94" s="8"/>
    </row>
    <row r="95" spans="4:20" x14ac:dyDescent="0.25">
      <c r="D95" s="9" t="s">
        <v>896</v>
      </c>
      <c r="E95" s="9"/>
      <c r="F95" s="9"/>
      <c r="G95" s="9"/>
      <c r="H95" s="9"/>
      <c r="I95" s="9"/>
      <c r="J95" s="9"/>
      <c r="T95" s="9"/>
    </row>
    <row r="96" spans="4:20" x14ac:dyDescent="0.25">
      <c r="D96" s="8" t="s">
        <v>897</v>
      </c>
      <c r="E96" s="8"/>
      <c r="F96" s="8"/>
      <c r="G96" s="8"/>
      <c r="H96" s="8"/>
      <c r="I96" s="8"/>
      <c r="J96" s="8"/>
      <c r="T96" s="8"/>
    </row>
  </sheetData>
  <sortState xmlns:xlrd2="http://schemas.microsoft.com/office/spreadsheetml/2017/richdata2" ref="H2:H18">
    <sortCondition ref="H1:H18"/>
  </sortState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08D1A-F5A0-4FE5-879B-3E43CD92EF57}">
  <dimension ref="A1:I77"/>
  <sheetViews>
    <sheetView topLeftCell="B1" workbookViewId="0">
      <selection activeCell="H19" sqref="H19"/>
    </sheetView>
  </sheetViews>
  <sheetFormatPr defaultRowHeight="15" x14ac:dyDescent="0.25"/>
  <cols>
    <col min="1" max="1" width="23.85546875" bestFit="1" customWidth="1"/>
    <col min="2" max="2" width="47" bestFit="1" customWidth="1"/>
    <col min="3" max="3" width="25.140625" bestFit="1" customWidth="1"/>
    <col min="4" max="4" width="35" bestFit="1" customWidth="1"/>
    <col min="5" max="5" width="34.7109375" bestFit="1" customWidth="1"/>
    <col min="6" max="6" width="34.7109375" customWidth="1"/>
    <col min="7" max="7" width="51.28515625" bestFit="1" customWidth="1"/>
    <col min="8" max="8" width="63.42578125" bestFit="1" customWidth="1"/>
    <col min="9" max="9" width="35.140625" bestFit="1" customWidth="1"/>
  </cols>
  <sheetData>
    <row r="1" spans="1:9" x14ac:dyDescent="0.25">
      <c r="A1" s="51" t="s">
        <v>53</v>
      </c>
      <c r="B1" s="51" t="s">
        <v>59</v>
      </c>
      <c r="C1" s="51" t="s">
        <v>898</v>
      </c>
      <c r="D1" s="51" t="s">
        <v>899</v>
      </c>
      <c r="E1" s="7" t="s">
        <v>900</v>
      </c>
      <c r="F1" s="51" t="s">
        <v>901</v>
      </c>
      <c r="G1" s="51" t="s">
        <v>145</v>
      </c>
      <c r="H1" s="52" t="s">
        <v>902</v>
      </c>
      <c r="I1" s="52" t="s">
        <v>903</v>
      </c>
    </row>
    <row r="2" spans="1:9" x14ac:dyDescent="0.25">
      <c r="A2" s="1" t="s">
        <v>904</v>
      </c>
      <c r="B2" t="s">
        <v>905</v>
      </c>
      <c r="C2" s="1" t="s">
        <v>906</v>
      </c>
      <c r="D2" s="1" t="s">
        <v>907</v>
      </c>
      <c r="E2" s="1" t="s">
        <v>908</v>
      </c>
      <c r="F2" s="11" t="s">
        <v>909</v>
      </c>
      <c r="G2" s="1" t="s">
        <v>910</v>
      </c>
      <c r="H2" s="53" t="s">
        <v>911</v>
      </c>
      <c r="I2" s="11" t="s">
        <v>912</v>
      </c>
    </row>
    <row r="3" spans="1:9" x14ac:dyDescent="0.25">
      <c r="A3" t="s">
        <v>913</v>
      </c>
      <c r="B3" t="s">
        <v>914</v>
      </c>
      <c r="C3" s="1" t="s">
        <v>915</v>
      </c>
      <c r="D3" s="1" t="s">
        <v>916</v>
      </c>
      <c r="E3" s="1" t="s">
        <v>699</v>
      </c>
      <c r="F3" s="11" t="s">
        <v>917</v>
      </c>
      <c r="G3" s="1" t="s">
        <v>918</v>
      </c>
      <c r="H3" s="1" t="s">
        <v>919</v>
      </c>
      <c r="I3" s="11" t="s">
        <v>920</v>
      </c>
    </row>
    <row r="4" spans="1:9" x14ac:dyDescent="0.25">
      <c r="A4" t="s">
        <v>921</v>
      </c>
      <c r="B4" t="s">
        <v>922</v>
      </c>
      <c r="C4" s="1" t="s">
        <v>923</v>
      </c>
      <c r="D4" s="1" t="s">
        <v>924</v>
      </c>
      <c r="E4" s="1" t="s">
        <v>925</v>
      </c>
      <c r="F4" t="s">
        <v>926</v>
      </c>
      <c r="G4" s="1" t="s">
        <v>927</v>
      </c>
      <c r="H4" s="1" t="s">
        <v>928</v>
      </c>
      <c r="I4" s="11" t="s">
        <v>929</v>
      </c>
    </row>
    <row r="5" spans="1:9" x14ac:dyDescent="0.25">
      <c r="A5" t="s">
        <v>930</v>
      </c>
      <c r="B5" t="s">
        <v>931</v>
      </c>
      <c r="C5" s="1" t="s">
        <v>932</v>
      </c>
      <c r="D5" s="1"/>
      <c r="E5" s="1" t="s">
        <v>933</v>
      </c>
      <c r="G5" s="1" t="s">
        <v>934</v>
      </c>
      <c r="H5" s="53" t="s">
        <v>935</v>
      </c>
      <c r="I5" s="11" t="s">
        <v>936</v>
      </c>
    </row>
    <row r="6" spans="1:9" x14ac:dyDescent="0.25">
      <c r="B6" t="s">
        <v>937</v>
      </c>
      <c r="C6" s="1" t="s">
        <v>938</v>
      </c>
      <c r="D6" s="1"/>
      <c r="E6" s="1" t="s">
        <v>939</v>
      </c>
      <c r="F6" s="11"/>
      <c r="G6" s="1" t="s">
        <v>940</v>
      </c>
      <c r="H6" s="1" t="s">
        <v>941</v>
      </c>
      <c r="I6" s="11" t="s">
        <v>942</v>
      </c>
    </row>
    <row r="7" spans="1:9" x14ac:dyDescent="0.25">
      <c r="B7" t="s">
        <v>943</v>
      </c>
      <c r="D7" s="1"/>
      <c r="E7" s="1" t="s">
        <v>723</v>
      </c>
      <c r="F7" s="11"/>
      <c r="G7" s="1" t="s">
        <v>944</v>
      </c>
      <c r="H7" s="1" t="s">
        <v>945</v>
      </c>
      <c r="I7" s="11" t="s">
        <v>946</v>
      </c>
    </row>
    <row r="8" spans="1:9" x14ac:dyDescent="0.25">
      <c r="B8" t="s">
        <v>947</v>
      </c>
      <c r="D8" s="1"/>
      <c r="E8" s="1" t="s">
        <v>948</v>
      </c>
      <c r="F8" s="11"/>
      <c r="G8" s="1" t="s">
        <v>949</v>
      </c>
      <c r="H8" s="1" t="s">
        <v>950</v>
      </c>
      <c r="I8" s="11" t="s">
        <v>951</v>
      </c>
    </row>
    <row r="9" spans="1:9" x14ac:dyDescent="0.25">
      <c r="B9" t="s">
        <v>952</v>
      </c>
      <c r="D9" s="1"/>
      <c r="E9" s="1" t="s">
        <v>953</v>
      </c>
      <c r="F9" s="11"/>
      <c r="G9" s="1" t="s">
        <v>954</v>
      </c>
      <c r="H9" s="1" t="s">
        <v>955</v>
      </c>
      <c r="I9" s="11" t="s">
        <v>956</v>
      </c>
    </row>
    <row r="10" spans="1:9" x14ac:dyDescent="0.25">
      <c r="B10" t="s">
        <v>957</v>
      </c>
      <c r="D10" s="1"/>
      <c r="E10" s="1" t="s">
        <v>958</v>
      </c>
      <c r="F10" s="11"/>
      <c r="G10" s="1" t="s">
        <v>959</v>
      </c>
      <c r="H10" s="1" t="s">
        <v>960</v>
      </c>
      <c r="I10" s="11" t="s">
        <v>961</v>
      </c>
    </row>
    <row r="11" spans="1:9" x14ac:dyDescent="0.25">
      <c r="B11" t="s">
        <v>962</v>
      </c>
      <c r="D11" s="1"/>
      <c r="E11" s="1" t="s">
        <v>963</v>
      </c>
      <c r="F11" s="11"/>
      <c r="G11" s="1" t="s">
        <v>964</v>
      </c>
      <c r="H11" s="1" t="s">
        <v>965</v>
      </c>
      <c r="I11" s="11" t="s">
        <v>966</v>
      </c>
    </row>
    <row r="12" spans="1:9" x14ac:dyDescent="0.25">
      <c r="B12" t="s">
        <v>967</v>
      </c>
      <c r="D12" s="1"/>
      <c r="E12" s="1" t="s">
        <v>968</v>
      </c>
      <c r="F12" s="11"/>
      <c r="G12" s="1" t="s">
        <v>969</v>
      </c>
      <c r="H12" s="1" t="s">
        <v>970</v>
      </c>
    </row>
    <row r="13" spans="1:9" x14ac:dyDescent="0.25">
      <c r="B13" t="s">
        <v>971</v>
      </c>
      <c r="D13" s="1"/>
      <c r="E13" s="1" t="s">
        <v>972</v>
      </c>
      <c r="F13" s="11"/>
      <c r="G13" s="1" t="s">
        <v>973</v>
      </c>
      <c r="H13" s="1" t="s">
        <v>974</v>
      </c>
    </row>
    <row r="14" spans="1:9" x14ac:dyDescent="0.25">
      <c r="B14" t="s">
        <v>975</v>
      </c>
      <c r="D14" s="1"/>
      <c r="E14" s="1" t="s">
        <v>976</v>
      </c>
      <c r="F14" s="11"/>
      <c r="G14" s="1" t="s">
        <v>977</v>
      </c>
      <c r="H14" s="1" t="s">
        <v>978</v>
      </c>
    </row>
    <row r="15" spans="1:9" x14ac:dyDescent="0.25">
      <c r="B15" t="s">
        <v>979</v>
      </c>
      <c r="D15" s="1"/>
      <c r="E15" s="1" t="s">
        <v>980</v>
      </c>
      <c r="F15" s="11"/>
      <c r="G15" s="1" t="s">
        <v>981</v>
      </c>
      <c r="H15" s="1" t="s">
        <v>982</v>
      </c>
    </row>
    <row r="16" spans="1:9" x14ac:dyDescent="0.25">
      <c r="B16" t="s">
        <v>983</v>
      </c>
      <c r="D16" s="1"/>
      <c r="E16" s="1" t="s">
        <v>984</v>
      </c>
      <c r="F16" s="11"/>
      <c r="G16" s="1" t="s">
        <v>985</v>
      </c>
      <c r="H16" s="1" t="s">
        <v>986</v>
      </c>
    </row>
    <row r="17" spans="2:8" x14ac:dyDescent="0.25">
      <c r="B17" t="s">
        <v>987</v>
      </c>
      <c r="D17" s="1"/>
      <c r="E17" s="1" t="s">
        <v>988</v>
      </c>
      <c r="F17" s="11"/>
      <c r="G17" s="1" t="s">
        <v>989</v>
      </c>
      <c r="H17" s="1" t="s">
        <v>990</v>
      </c>
    </row>
    <row r="18" spans="2:8" x14ac:dyDescent="0.25">
      <c r="B18" t="s">
        <v>991</v>
      </c>
      <c r="D18" s="1"/>
      <c r="E18" s="1" t="s">
        <v>992</v>
      </c>
      <c r="F18" s="11"/>
      <c r="G18" s="1" t="s">
        <v>993</v>
      </c>
      <c r="H18" s="1" t="s">
        <v>994</v>
      </c>
    </row>
    <row r="19" spans="2:8" x14ac:dyDescent="0.25">
      <c r="B19" t="s">
        <v>995</v>
      </c>
      <c r="D19" s="1"/>
      <c r="E19" s="1" t="s">
        <v>996</v>
      </c>
      <c r="F19" s="11"/>
      <c r="G19" s="1" t="s">
        <v>997</v>
      </c>
      <c r="H19" s="1" t="s">
        <v>998</v>
      </c>
    </row>
    <row r="20" spans="2:8" x14ac:dyDescent="0.25">
      <c r="B20" t="s">
        <v>999</v>
      </c>
      <c r="D20" s="1"/>
      <c r="E20" s="1" t="s">
        <v>1000</v>
      </c>
      <c r="F20" s="11"/>
      <c r="G20" s="1" t="s">
        <v>1001</v>
      </c>
      <c r="H20" s="1"/>
    </row>
    <row r="21" spans="2:8" x14ac:dyDescent="0.25">
      <c r="B21" t="s">
        <v>1002</v>
      </c>
      <c r="D21" s="1"/>
      <c r="E21" s="1" t="s">
        <v>1003</v>
      </c>
      <c r="F21" s="11"/>
      <c r="G21" s="1" t="s">
        <v>1004</v>
      </c>
      <c r="H21" s="1"/>
    </row>
    <row r="22" spans="2:8" x14ac:dyDescent="0.25">
      <c r="B22" t="s">
        <v>1005</v>
      </c>
      <c r="D22" s="1"/>
      <c r="E22" s="1" t="s">
        <v>1006</v>
      </c>
      <c r="F22" s="11"/>
      <c r="G22" s="1" t="s">
        <v>1007</v>
      </c>
    </row>
    <row r="23" spans="2:8" x14ac:dyDescent="0.25">
      <c r="B23" t="s">
        <v>1008</v>
      </c>
      <c r="D23" s="1"/>
      <c r="E23" s="1" t="s">
        <v>1009</v>
      </c>
      <c r="F23" s="11"/>
      <c r="G23" s="1" t="s">
        <v>1010</v>
      </c>
    </row>
    <row r="24" spans="2:8" x14ac:dyDescent="0.25">
      <c r="B24" t="s">
        <v>1011</v>
      </c>
      <c r="D24" s="1"/>
      <c r="E24" s="1" t="s">
        <v>711</v>
      </c>
      <c r="F24" s="11"/>
      <c r="G24" s="1" t="s">
        <v>1012</v>
      </c>
    </row>
    <row r="25" spans="2:8" x14ac:dyDescent="0.25">
      <c r="B25" t="s">
        <v>1013</v>
      </c>
      <c r="D25" s="1"/>
      <c r="E25" s="1" t="s">
        <v>1014</v>
      </c>
      <c r="F25" s="11"/>
      <c r="G25" s="1" t="s">
        <v>1015</v>
      </c>
    </row>
    <row r="26" spans="2:8" x14ac:dyDescent="0.25">
      <c r="B26" t="s">
        <v>1016</v>
      </c>
      <c r="D26" s="1"/>
      <c r="E26" s="1" t="s">
        <v>1017</v>
      </c>
      <c r="F26" s="11"/>
      <c r="G26" s="1" t="s">
        <v>1018</v>
      </c>
    </row>
    <row r="27" spans="2:8" x14ac:dyDescent="0.25">
      <c r="B27" t="s">
        <v>1019</v>
      </c>
      <c r="D27" s="1"/>
      <c r="E27" s="1" t="s">
        <v>1020</v>
      </c>
      <c r="F27" s="11"/>
      <c r="G27" s="1" t="s">
        <v>1021</v>
      </c>
    </row>
    <row r="28" spans="2:8" x14ac:dyDescent="0.25">
      <c r="B28" t="s">
        <v>1022</v>
      </c>
      <c r="D28" s="1"/>
      <c r="E28" s="1" t="s">
        <v>1023</v>
      </c>
      <c r="F28" s="11"/>
      <c r="G28" s="1" t="s">
        <v>1024</v>
      </c>
    </row>
    <row r="29" spans="2:8" x14ac:dyDescent="0.25">
      <c r="B29" t="s">
        <v>1025</v>
      </c>
      <c r="D29" s="1"/>
      <c r="E29" s="1" t="s">
        <v>1026</v>
      </c>
      <c r="F29" s="11"/>
      <c r="G29" s="1" t="s">
        <v>1027</v>
      </c>
    </row>
    <row r="30" spans="2:8" x14ac:dyDescent="0.25">
      <c r="B30" t="s">
        <v>1028</v>
      </c>
      <c r="D30" s="1"/>
      <c r="E30" s="1" t="s">
        <v>1029</v>
      </c>
      <c r="F30" s="11"/>
    </row>
    <row r="31" spans="2:8" x14ac:dyDescent="0.25">
      <c r="B31" t="s">
        <v>1030</v>
      </c>
      <c r="D31" s="1"/>
      <c r="E31" s="1" t="s">
        <v>1031</v>
      </c>
    </row>
    <row r="32" spans="2:8" x14ac:dyDescent="0.25">
      <c r="B32" t="s">
        <v>1032</v>
      </c>
      <c r="D32" s="1"/>
      <c r="E32" s="1" t="s">
        <v>775</v>
      </c>
    </row>
    <row r="33" spans="2:7" x14ac:dyDescent="0.25">
      <c r="B33" t="s">
        <v>1033</v>
      </c>
      <c r="D33" s="1"/>
      <c r="E33" s="1"/>
    </row>
    <row r="34" spans="2:7" x14ac:dyDescent="0.25">
      <c r="B34" t="s">
        <v>1034</v>
      </c>
      <c r="D34" s="1"/>
      <c r="E34" s="1"/>
    </row>
    <row r="35" spans="2:7" x14ac:dyDescent="0.25">
      <c r="B35" t="s">
        <v>1035</v>
      </c>
      <c r="D35" s="1"/>
      <c r="G35" s="1"/>
    </row>
    <row r="36" spans="2:7" x14ac:dyDescent="0.25">
      <c r="B36" t="s">
        <v>1036</v>
      </c>
      <c r="D36" s="24"/>
      <c r="G36" s="1"/>
    </row>
    <row r="37" spans="2:7" x14ac:dyDescent="0.25">
      <c r="B37" t="s">
        <v>1037</v>
      </c>
      <c r="D37" s="1"/>
      <c r="G37" s="1"/>
    </row>
    <row r="38" spans="2:7" x14ac:dyDescent="0.25">
      <c r="B38" t="s">
        <v>1038</v>
      </c>
      <c r="D38" s="1"/>
      <c r="G38" s="1"/>
    </row>
    <row r="39" spans="2:7" x14ac:dyDescent="0.25">
      <c r="B39" t="s">
        <v>1039</v>
      </c>
      <c r="D39" s="1"/>
      <c r="G39" s="1"/>
    </row>
    <row r="40" spans="2:7" x14ac:dyDescent="0.25">
      <c r="B40" t="s">
        <v>1040</v>
      </c>
      <c r="D40" s="1"/>
    </row>
    <row r="41" spans="2:7" x14ac:dyDescent="0.25">
      <c r="B41" t="s">
        <v>1041</v>
      </c>
      <c r="D41" s="1"/>
    </row>
    <row r="42" spans="2:7" x14ac:dyDescent="0.25">
      <c r="B42" t="s">
        <v>1042</v>
      </c>
      <c r="D42" s="1"/>
    </row>
    <row r="43" spans="2:7" x14ac:dyDescent="0.25">
      <c r="B43" t="s">
        <v>1043</v>
      </c>
      <c r="D43" s="1"/>
    </row>
    <row r="44" spans="2:7" x14ac:dyDescent="0.25">
      <c r="B44" t="s">
        <v>1044</v>
      </c>
      <c r="D44" s="1"/>
    </row>
    <row r="45" spans="2:7" x14ac:dyDescent="0.25">
      <c r="B45" t="s">
        <v>1045</v>
      </c>
      <c r="D45" s="1"/>
    </row>
    <row r="46" spans="2:7" x14ac:dyDescent="0.25">
      <c r="B46" t="s">
        <v>1046</v>
      </c>
      <c r="D46" s="1"/>
    </row>
    <row r="47" spans="2:7" x14ac:dyDescent="0.25">
      <c r="B47" t="s">
        <v>1047</v>
      </c>
      <c r="D47" s="1"/>
    </row>
    <row r="48" spans="2:7" x14ac:dyDescent="0.25">
      <c r="B48" t="s">
        <v>1048</v>
      </c>
      <c r="D48" s="1"/>
    </row>
    <row r="49" spans="2:4" x14ac:dyDescent="0.25">
      <c r="B49" t="s">
        <v>1049</v>
      </c>
      <c r="D49" s="1"/>
    </row>
    <row r="50" spans="2:4" x14ac:dyDescent="0.25">
      <c r="B50" t="s">
        <v>1050</v>
      </c>
      <c r="D50" s="1"/>
    </row>
    <row r="51" spans="2:4" x14ac:dyDescent="0.25">
      <c r="B51" t="s">
        <v>1051</v>
      </c>
      <c r="D51" s="1"/>
    </row>
    <row r="52" spans="2:4" x14ac:dyDescent="0.25">
      <c r="B52" t="s">
        <v>1052</v>
      </c>
      <c r="D52" s="1"/>
    </row>
    <row r="53" spans="2:4" x14ac:dyDescent="0.25">
      <c r="B53" t="s">
        <v>1053</v>
      </c>
      <c r="D53" s="1"/>
    </row>
    <row r="54" spans="2:4" x14ac:dyDescent="0.25">
      <c r="B54" t="s">
        <v>1054</v>
      </c>
      <c r="D54" s="1"/>
    </row>
    <row r="55" spans="2:4" x14ac:dyDescent="0.25">
      <c r="B55" t="s">
        <v>1055</v>
      </c>
      <c r="D55" s="1"/>
    </row>
    <row r="56" spans="2:4" x14ac:dyDescent="0.25">
      <c r="B56" t="s">
        <v>1056</v>
      </c>
      <c r="D56" s="1"/>
    </row>
    <row r="57" spans="2:4" x14ac:dyDescent="0.25">
      <c r="B57" t="s">
        <v>1057</v>
      </c>
      <c r="D57" s="1"/>
    </row>
    <row r="58" spans="2:4" x14ac:dyDescent="0.25">
      <c r="B58" t="s">
        <v>1058</v>
      </c>
      <c r="D58" s="1"/>
    </row>
    <row r="59" spans="2:4" x14ac:dyDescent="0.25">
      <c r="B59" t="s">
        <v>1059</v>
      </c>
      <c r="D59" s="1"/>
    </row>
    <row r="60" spans="2:4" x14ac:dyDescent="0.25">
      <c r="B60" t="s">
        <v>1060</v>
      </c>
      <c r="D60" s="1"/>
    </row>
    <row r="61" spans="2:4" x14ac:dyDescent="0.25">
      <c r="B61" t="s">
        <v>1061</v>
      </c>
      <c r="D61" s="1"/>
    </row>
    <row r="62" spans="2:4" x14ac:dyDescent="0.25">
      <c r="B62" t="s">
        <v>1062</v>
      </c>
      <c r="D62" s="1"/>
    </row>
    <row r="63" spans="2:4" x14ac:dyDescent="0.25">
      <c r="B63" t="s">
        <v>1063</v>
      </c>
      <c r="D63" s="1"/>
    </row>
    <row r="64" spans="2:4" x14ac:dyDescent="0.25">
      <c r="B64" t="s">
        <v>1064</v>
      </c>
      <c r="D64" s="1"/>
    </row>
    <row r="65" spans="2:4" x14ac:dyDescent="0.25">
      <c r="B65" t="s">
        <v>1065</v>
      </c>
      <c r="D65" s="1"/>
    </row>
    <row r="66" spans="2:4" x14ac:dyDescent="0.25">
      <c r="B66" t="s">
        <v>1066</v>
      </c>
      <c r="D66" s="1"/>
    </row>
    <row r="67" spans="2:4" x14ac:dyDescent="0.25">
      <c r="B67" t="s">
        <v>1067</v>
      </c>
      <c r="D67" s="1"/>
    </row>
    <row r="68" spans="2:4" x14ac:dyDescent="0.25">
      <c r="B68" t="s">
        <v>1068</v>
      </c>
      <c r="D68" s="1"/>
    </row>
    <row r="69" spans="2:4" x14ac:dyDescent="0.25">
      <c r="B69" t="s">
        <v>1069</v>
      </c>
    </row>
    <row r="70" spans="2:4" x14ac:dyDescent="0.25">
      <c r="B70" t="s">
        <v>1070</v>
      </c>
    </row>
    <row r="71" spans="2:4" x14ac:dyDescent="0.25">
      <c r="B71" t="s">
        <v>1071</v>
      </c>
    </row>
    <row r="72" spans="2:4" x14ac:dyDescent="0.25">
      <c r="B72" t="s">
        <v>1072</v>
      </c>
    </row>
    <row r="73" spans="2:4" x14ac:dyDescent="0.25">
      <c r="B73" t="s">
        <v>1073</v>
      </c>
    </row>
    <row r="74" spans="2:4" x14ac:dyDescent="0.25">
      <c r="B74" t="s">
        <v>1074</v>
      </c>
    </row>
    <row r="75" spans="2:4" x14ac:dyDescent="0.25">
      <c r="B75" t="s">
        <v>1075</v>
      </c>
    </row>
    <row r="76" spans="2:4" x14ac:dyDescent="0.25">
      <c r="B76" t="s">
        <v>1076</v>
      </c>
    </row>
    <row r="77" spans="2:4" x14ac:dyDescent="0.25">
      <c r="B77" t="s">
        <v>1077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3D614B2A35D6D469A4AAE62A5259962" ma:contentTypeVersion="18" ma:contentTypeDescription="Create a new document." ma:contentTypeScope="" ma:versionID="8c466fec4348106ff3deaee065e29aa2">
  <xsd:schema xmlns:xsd="http://www.w3.org/2001/XMLSchema" xmlns:xs="http://www.w3.org/2001/XMLSchema" xmlns:p="http://schemas.microsoft.com/office/2006/metadata/properties" xmlns:ns3="aa3b2fb2-31e3-46e5-8720-d11ed4c2866b" xmlns:ns4="f7266a75-1e91-4afd-b62e-58e4d3d48567" targetNamespace="http://schemas.microsoft.com/office/2006/metadata/properties" ma:root="true" ma:fieldsID="402caa55613711b30d0e2e9d5bdf6e5f" ns3:_="" ns4:_="">
    <xsd:import namespace="aa3b2fb2-31e3-46e5-8720-d11ed4c2866b"/>
    <xsd:import namespace="f7266a75-1e91-4afd-b62e-58e4d3d48567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MediaServiceDateTaken" minOccurs="0"/>
                <xsd:element ref="ns4:MediaLengthInSeconds" minOccurs="0"/>
                <xsd:element ref="ns4:MediaServiceLocation" minOccurs="0"/>
                <xsd:element ref="ns4:_activity" minOccurs="0"/>
                <xsd:element ref="ns4:MediaServiceObjectDetectorVersions" minOccurs="0"/>
                <xsd:element ref="ns4:MediaServiceSystemTags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3b2fb2-31e3-46e5-8720-d11ed4c2866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266a75-1e91-4afd-b62e-58e4d3d4856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f7266a75-1e91-4afd-b62e-58e4d3d48567" xsi:nil="true"/>
  </documentManagement>
</p:properties>
</file>

<file path=customXml/itemProps1.xml><?xml version="1.0" encoding="utf-8"?>
<ds:datastoreItem xmlns:ds="http://schemas.openxmlformats.org/officeDocument/2006/customXml" ds:itemID="{EFD6F4F1-67C0-459C-9B68-4DDAD9A5856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a3b2fb2-31e3-46e5-8720-d11ed4c2866b"/>
    <ds:schemaRef ds:uri="f7266a75-1e91-4afd-b62e-58e4d3d4856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1B2D496-B2D3-4260-9CB2-D98EC0DFCF2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0461FA2-E194-4249-8A0C-ACA84B2F8D0F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www.w3.org/XML/1998/namespace"/>
    <ds:schemaRef ds:uri="http://schemas.microsoft.com/office/infopath/2007/PartnerControls"/>
    <ds:schemaRef ds:uri="aa3b2fb2-31e3-46e5-8720-d11ed4c2866b"/>
    <ds:schemaRef ds:uri="http://schemas.openxmlformats.org/package/2006/metadata/core-properties"/>
    <ds:schemaRef ds:uri="f7266a75-1e91-4afd-b62e-58e4d3d48567"/>
    <ds:schemaRef ds:uri="http://purl.org/dc/terms/"/>
  </ds:schemaRefs>
</ds:datastoreItem>
</file>

<file path=docMetadata/LabelInfo.xml><?xml version="1.0" encoding="utf-8"?>
<clbl:labelList xmlns:clbl="http://schemas.microsoft.com/office/2020/mipLabelMetadata">
  <clbl:label id="{140b9f7d-8e3a-482f-9702-4b7ffc40985a}" enabled="1" method="Privileged" siteId="{5b6f6241-9a57-4be4-8e50-1dfa72e79a5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MENU</vt:lpstr>
      <vt:lpstr>Lista de Verificação</vt:lpstr>
      <vt:lpstr>Dados do Equipamento</vt:lpstr>
      <vt:lpstr>Kickoff</vt:lpstr>
      <vt:lpstr>Levantamento de dados</vt:lpstr>
      <vt:lpstr>Dados da Falha</vt:lpstr>
      <vt:lpstr>Linha do Tempo</vt:lpstr>
      <vt:lpstr>Conclusão</vt:lpstr>
      <vt:lpstr>Plano de Ação</vt:lpstr>
      <vt:lpstr>Anexos</vt:lpstr>
      <vt:lpstr>PFCEO_Equip</vt:lpstr>
      <vt:lpstr>Informações</vt:lpstr>
      <vt:lpstr>apoio</vt:lpstr>
      <vt:lpstr>Tabelas de Referência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Roberio Fonseca Padilha Junior</dc:creator>
  <cp:keywords/>
  <dc:description/>
  <cp:lastModifiedBy>Roberio Fonseca Padilha Junior</cp:lastModifiedBy>
  <cp:revision/>
  <dcterms:created xsi:type="dcterms:W3CDTF">2024-01-18T16:06:18Z</dcterms:created>
  <dcterms:modified xsi:type="dcterms:W3CDTF">2025-06-30T14:33:22Z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40b9f7d-8e3a-482f-9702-4b7ffc40985a_Enabled">
    <vt:lpwstr>true</vt:lpwstr>
  </property>
  <property fmtid="{D5CDD505-2E9C-101B-9397-08002B2CF9AE}" pid="3" name="MSIP_Label_140b9f7d-8e3a-482f-9702-4b7ffc40985a_SetDate">
    <vt:lpwstr>2024-01-18T16:07:40Z</vt:lpwstr>
  </property>
  <property fmtid="{D5CDD505-2E9C-101B-9397-08002B2CF9AE}" pid="4" name="MSIP_Label_140b9f7d-8e3a-482f-9702-4b7ffc40985a_Method">
    <vt:lpwstr>Privileged</vt:lpwstr>
  </property>
  <property fmtid="{D5CDD505-2E9C-101B-9397-08002B2CF9AE}" pid="5" name="MSIP_Label_140b9f7d-8e3a-482f-9702-4b7ffc40985a_Name">
    <vt:lpwstr>Pública</vt:lpwstr>
  </property>
  <property fmtid="{D5CDD505-2E9C-101B-9397-08002B2CF9AE}" pid="6" name="MSIP_Label_140b9f7d-8e3a-482f-9702-4b7ffc40985a_SiteId">
    <vt:lpwstr>5b6f6241-9a57-4be4-8e50-1dfa72e79a57</vt:lpwstr>
  </property>
  <property fmtid="{D5CDD505-2E9C-101B-9397-08002B2CF9AE}" pid="7" name="MSIP_Label_140b9f7d-8e3a-482f-9702-4b7ffc40985a_ActionId">
    <vt:lpwstr>f19c7c08-d2c1-435d-8043-25587f6848e5</vt:lpwstr>
  </property>
  <property fmtid="{D5CDD505-2E9C-101B-9397-08002B2CF9AE}" pid="8" name="MSIP_Label_140b9f7d-8e3a-482f-9702-4b7ffc40985a_ContentBits">
    <vt:lpwstr>2</vt:lpwstr>
  </property>
  <property fmtid="{D5CDD505-2E9C-101B-9397-08002B2CF9AE}" pid="9" name="ContentTypeId">
    <vt:lpwstr>0x01010093D614B2A35D6D469A4AAE62A5259962</vt:lpwstr>
  </property>
  <property fmtid="{D5CDD505-2E9C-101B-9397-08002B2CF9AE}" pid="10" name="MediaServiceImageTags">
    <vt:lpwstr/>
  </property>
  <property fmtid="{D5CDD505-2E9C-101B-9397-08002B2CF9AE}" pid="11" name="xd_ProgID">
    <vt:lpwstr/>
  </property>
  <property fmtid="{D5CDD505-2E9C-101B-9397-08002B2CF9AE}" pid="12" name="ComplianceAssetId">
    <vt:lpwstr/>
  </property>
  <property fmtid="{D5CDD505-2E9C-101B-9397-08002B2CF9AE}" pid="13" name="TemplateUrl">
    <vt:lpwstr/>
  </property>
  <property fmtid="{D5CDD505-2E9C-101B-9397-08002B2CF9AE}" pid="14" name="_ExtendedDescription">
    <vt:lpwstr/>
  </property>
  <property fmtid="{D5CDD505-2E9C-101B-9397-08002B2CF9AE}" pid="15" name="TriggerFlowInfo">
    <vt:lpwstr/>
  </property>
  <property fmtid="{D5CDD505-2E9C-101B-9397-08002B2CF9AE}" pid="16" name="xd_Signature">
    <vt:bool>false</vt:bool>
  </property>
</Properties>
</file>